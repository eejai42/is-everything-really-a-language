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Candidates" sheetId="1" state="visible" r:id="rId1"/>
    <sheet name="IsEverythingALanguage" sheetId="2" state="visible" r:id="rId2"/>
    <sheet name="ERBCustom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34" customWidth="1" min="9" max="9"/>
    <col width="36" customWidth="1" min="10" max="10"/>
    <col width="18" customWidth="1" min="11" max="11"/>
    <col width="22" customWidth="1" min="12" max="12"/>
    <col width="16" customWidth="1" min="13" max="13"/>
    <col width="12" customWidth="1" min="14" max="14"/>
    <col width="13" customWidth="1" min="15" max="15"/>
    <col width="12" customWidth="1" min="16" max="16"/>
    <col width="17" customWidth="1" min="17" max="17"/>
    <col width="27" customWidth="1" min="18" max="18"/>
    <col width="27" customWidth="1" min="19" max="19"/>
    <col width="22" customWidth="1" min="20" max="20"/>
    <col width="13" customWidth="1" min="21" max="21"/>
    <col width="15" customWidth="1" min="22" max="22"/>
    <col width="17" customWidth="1" min="23" max="23"/>
    <col width="21" customWidth="1" min="24" max="24"/>
    <col width="29" customWidth="1" min="25" max="25"/>
    <col width="28" customWidth="1" min="26" max="26"/>
    <col width="23" customWidth="1" min="27" max="27"/>
    <col width="26" customWidth="1" min="28" max="28"/>
    <col width="12" customWidth="1" min="29" max="29"/>
    <col width="20" customWidth="1" min="30" max="30"/>
    <col width="22" customWidth="1" min="31" max="31"/>
    <col width="21" customWidth="1" min="32" max="32"/>
    <col width="28" customWidth="1" min="33" max="33"/>
    <col width="21" customWidth="1" min="34" max="34"/>
    <col width="21" customWidth="1" min="35" max="35"/>
    <col width="29" customWidth="1" min="36" max="36"/>
    <col width="27" customWidth="1" min="37" max="37"/>
    <col width="17" customWidth="1" min="38" max="38"/>
    <col width="30" customWidth="1" min="39" max="39"/>
    <col width="20" customWidth="1" min="40" max="40"/>
    <col width="34" customWidth="1" min="41" max="41"/>
    <col width="21" customWidth="1" min="42" max="42"/>
  </cols>
  <sheetData>
    <row r="1">
      <c r="A1" s="1" t="inlineStr">
        <is>
          <t>LanguageCandidateId</t>
        </is>
      </c>
      <c r="B1" s="1" t="inlineStr">
        <is>
          <t>Name</t>
        </is>
      </c>
      <c r="C1" s="1" t="inlineStr">
        <is>
          <t>IsLanguage</t>
        </is>
      </c>
      <c r="D1" s="1" t="inlineStr">
        <is>
          <t>HasGrammar</t>
        </is>
      </c>
      <c r="E1" s="1" t="inlineStr">
        <is>
          <t>HasSyntax</t>
        </is>
      </c>
      <c r="F1" s="1" t="inlineStr">
        <is>
          <t>CanBeHeld</t>
        </is>
      </c>
      <c r="G1" s="1" t="inlineStr">
        <is>
          <t>Question</t>
        </is>
      </c>
      <c r="H1" s="1" t="inlineStr">
        <is>
          <t>PredictedAnswer</t>
        </is>
      </c>
      <c r="I1" s="1" t="inlineStr">
        <is>
          <t>PredictedBiologicalLanguage_Core</t>
        </is>
      </c>
      <c r="J1" s="1" t="inlineStr">
        <is>
          <t>PredictedBiologicalLanguage_Strict</t>
        </is>
      </c>
      <c r="K1" s="1" t="inlineStr">
        <is>
          <t>Bio_HockettScore</t>
        </is>
      </c>
      <c r="L1" s="1" t="inlineStr">
        <is>
          <t>PredictionPredicates</t>
        </is>
      </c>
      <c r="M1" s="1" t="inlineStr">
        <is>
          <t>PredictionFail</t>
        </is>
      </c>
      <c r="N1" s="1" t="inlineStr">
        <is>
          <t>Category</t>
        </is>
      </c>
      <c r="O1" s="1" t="inlineStr">
        <is>
          <t>HasIdentity</t>
        </is>
      </c>
      <c r="P1" s="1" t="inlineStr">
        <is>
          <t>IsParsed</t>
        </is>
      </c>
      <c r="Q1" s="1" t="inlineStr">
        <is>
          <t>ResolvesToAnAST</t>
        </is>
      </c>
      <c r="R1" s="1" t="inlineStr">
        <is>
          <t>HasLinearDecodingPressure</t>
        </is>
      </c>
      <c r="S1" s="1" t="inlineStr">
        <is>
          <t>IsStableOntologyReference</t>
        </is>
      </c>
      <c r="T1" s="1" t="inlineStr">
        <is>
          <t>IsLiveOntologyEditor</t>
        </is>
      </c>
      <c r="U1" s="1" t="inlineStr">
        <is>
          <t>IsOpenWorld</t>
        </is>
      </c>
      <c r="V1" s="1" t="inlineStr">
        <is>
          <t>IsClosedWorld</t>
        </is>
      </c>
      <c r="W1" s="1" t="inlineStr">
        <is>
          <t>IsDescriptionOf</t>
        </is>
      </c>
      <c r="X1" s="1" t="inlineStr">
        <is>
          <t>DistanceFromConcept</t>
        </is>
      </c>
      <c r="Y1" s="1" t="inlineStr">
        <is>
          <t>IsOpenClosedWorldConflicted</t>
        </is>
      </c>
      <c r="Z1" s="1" t="inlineStr">
        <is>
          <t>DimensionalityWhileEditing</t>
        </is>
      </c>
      <c r="AA1" s="1" t="inlineStr">
        <is>
          <t>RelationshipToConcept</t>
        </is>
      </c>
      <c r="AB1" s="1" t="inlineStr">
        <is>
          <t>ModelObjectFacilityLayer</t>
        </is>
      </c>
      <c r="AC1" s="1" t="inlineStr">
        <is>
          <t>SortOrder</t>
        </is>
      </c>
      <c r="AD1" s="1" t="inlineStr">
        <is>
          <t>Bio_HasSemanticity</t>
        </is>
      </c>
      <c r="AE1" s="1" t="inlineStr">
        <is>
          <t>Bio_HasArbitrariness</t>
        </is>
      </c>
      <c r="AF1" s="1" t="inlineStr">
        <is>
          <t>Bio_HasDiscreteness</t>
        </is>
      </c>
      <c r="AG1" s="1" t="inlineStr">
        <is>
          <t>Bio_HasDualityOfPatterning</t>
        </is>
      </c>
      <c r="AH1" s="1" t="inlineStr">
        <is>
          <t>Bio_HasProductivity</t>
        </is>
      </c>
      <c r="AI1" s="1" t="inlineStr">
        <is>
          <t>Bio_HasDisplacement</t>
        </is>
      </c>
      <c r="AJ1" s="1" t="inlineStr">
        <is>
          <t>Bio_HasCulturalTransmission</t>
        </is>
      </c>
      <c r="AK1" s="1" t="inlineStr">
        <is>
          <t>Bio_HasInterchangeability</t>
        </is>
      </c>
      <c r="AL1" s="1" t="inlineStr">
        <is>
          <t>Bio_HasFeedback</t>
        </is>
      </c>
      <c r="AM1" s="1" t="inlineStr">
        <is>
          <t>Bio_HasBroadcastTransmission</t>
        </is>
      </c>
      <c r="AN1" s="1" t="inlineStr">
        <is>
          <t>Bio_HasRapidFading</t>
        </is>
      </c>
      <c r="AO1" s="1" t="inlineStr">
        <is>
          <t>Bio_IsEvolvedCommunicationSystem</t>
        </is>
      </c>
      <c r="AP1" s="1" t="inlineStr">
        <is>
          <t>Bio_PrimaryModality</t>
        </is>
      </c>
    </row>
    <row r="2">
      <c r="A2" s="2" t="inlineStr">
        <is>
          <t>english</t>
        </is>
      </c>
      <c r="B2" s="2" t="inlineStr">
        <is>
          <t>English</t>
        </is>
      </c>
      <c r="C2" s="2" t="b">
        <v>1</v>
      </c>
      <c r="D2" s="3">
        <f>$E2 = TRUE()</f>
        <v/>
      </c>
      <c r="E2" s="2" t="b">
        <v>1</v>
      </c>
      <c r="F2" s="2" t="b">
        <v>0</v>
      </c>
      <c r="G2" s="3">
        <f>"Is " &amp; $B2 &amp; " a language?"</f>
        <v/>
      </c>
      <c r="H2" s="3">
        <f>OR(
  AND(
    $E2,
    $P2,
    $W2,
    $R2,
    $Q2,
    $S2,
    NOT($F2),
    NOT($O2)
  ),
  $K2 &gt; 0
)</f>
        <v/>
      </c>
      <c r="I2" s="3">
        <f>AND(
  $AO2,
  $AD2,
  $AE2,
  $AF2,
  $AG2,
  $AH2,
  $AI2,
  $AJ2
)</f>
        <v/>
      </c>
      <c r="J2" s="3">
        <f>AND(
  $I2,
  $AK2,
  $AL2
)</f>
        <v/>
      </c>
      <c r="K2" s="3">
        <f>SUM(IF($AD2,1,0),
IF($AE2,1,0),
IF($AF2,1,0),
IF($AG2,1,0),
IF($AH2,1,0),
IF($AI2,1,0),
IF($AJ2,1,0),
IF($AK2,1,0),
IF($AL2,1,0),
IF($AM2,1,0),
IF($AN2,1,0))</f>
        <v/>
      </c>
      <c r="L2" s="3">
        <f>IF($E2, "Has Syntax", "No Syntax") &amp; " &amp; " &amp; IF($P2, "Requires Parsing", "No Parsing Neede") &amp; " &amp; " &amp; IF($W2, "Describes the thing", "Is the Thing") &amp; " &amp; " &amp; IF($R2, "Has Linear Decoding Pressure", "No Decoding Pressure") &amp; " &amp; " &amp; IF($Q2, "Resolves to AST", "No AST") &amp; ", " &amp; IF($S2, "Is Stable Ontology", "Not 'Ontology'") &amp; " AND " &amp; IF($F2, "Can Be Held", "Can't Be Held") &amp; ", " &amp;IF($O2, "Has Identity", "Has no Identity")</f>
        <v/>
      </c>
      <c r="M2" s="3">
        <f>IF(NOT($H2 = $C2),
  $B2 &amp; " " &amp; IF($H2, "Is", "Isn't") &amp; " a Family Feud Language, but " &amp; 
  IF($C2, "Is", "Is Not") &amp; " marked as a 'Language Candidate.'", "") &amp; IF($Y2, " - Open World vs. Closed World Conflict.", "")</f>
        <v/>
      </c>
      <c r="N2" s="2" t="inlineStr">
        <is>
          <t>Natural Language</t>
        </is>
      </c>
      <c r="O2" s="2" t="b">
        <v>0</v>
      </c>
      <c r="P2" s="2" t="b">
        <v>1</v>
      </c>
      <c r="Q2" s="2" t="b">
        <v>1</v>
      </c>
      <c r="R2" s="2" t="b">
        <v>1</v>
      </c>
      <c r="S2" s="2" t="b">
        <v>1</v>
      </c>
      <c r="T2" s="2" t="b">
        <v>0</v>
      </c>
      <c r="U2" s="2" t="b">
        <v>1</v>
      </c>
      <c r="V2" s="2" t="b">
        <v>0</v>
      </c>
      <c r="W2" s="3">
        <f>$X2 &gt; 1</f>
        <v/>
      </c>
      <c r="X2" s="2" t="n">
        <v>2</v>
      </c>
      <c r="Y2" s="3">
        <f>AND($U2, $V2)</f>
        <v/>
      </c>
      <c r="Z2" s="2" t="inlineStr">
        <is>
          <t>OneDimensionalSymbolic</t>
        </is>
      </c>
      <c r="AA2" s="3">
        <f>IF($X2 = 1, "IsMirrorOf", "IsDescriptionOf")</f>
        <v/>
      </c>
      <c r="AB2" s="2" t="inlineStr">
        <is>
          <t>M1</t>
        </is>
      </c>
      <c r="AC2" s="2" t="n">
        <v>1</v>
      </c>
      <c r="AD2" s="2" t="b">
        <v>1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b">
        <v>1</v>
      </c>
      <c r="AM2" s="2" t="b">
        <v>1</v>
      </c>
      <c r="AN2" s="2" t="b">
        <v>1</v>
      </c>
      <c r="AO2" s="2" t="b">
        <v>1</v>
      </c>
      <c r="AP2" s="2" t="inlineStr">
        <is>
          <t>VocalAuditory</t>
        </is>
      </c>
    </row>
    <row r="3">
      <c r="A3" s="2" t="inlineStr">
        <is>
          <t>a-coffee-mug</t>
        </is>
      </c>
      <c r="B3" s="2" t="inlineStr">
        <is>
          <t>A Coffee Mug</t>
        </is>
      </c>
      <c r="C3" s="2" t="b">
        <v>0</v>
      </c>
      <c r="D3" s="3">
        <f>$E3 = TRUE()</f>
        <v/>
      </c>
      <c r="E3" s="2" t="b">
        <v>0</v>
      </c>
      <c r="F3" s="2" t="b">
        <v>1</v>
      </c>
      <c r="G3" s="3">
        <f>"Is " &amp; $B3 &amp; " a language?"</f>
        <v/>
      </c>
      <c r="H3" s="3">
        <f>OR(
  AND(
    $E3,
    $P3,
    $W3,
    $R3,
    $Q3,
    $S3,
    NOT($F3),
    NOT($O3)
  ),
  $K3 &gt; 0
)</f>
        <v/>
      </c>
      <c r="I3" s="3">
        <f>AND(
  $AO3,
  $AD3,
  $AE3,
  $AF3,
  $AG3,
  $AH3,
  $AI3,
  $AJ3
)</f>
        <v/>
      </c>
      <c r="J3" s="3">
        <f>AND(
  $I3,
  $AK3,
  $AL3
)</f>
        <v/>
      </c>
      <c r="K3" s="3">
        <f>SUM(IF($AD3,1,0),
IF($AE3,1,0),
IF($AF3,1,0),
IF($AG3,1,0),
IF($AH3,1,0),
IF($AI3,1,0),
IF($AJ3,1,0),
IF($AK3,1,0),
IF($AL3,1,0),
IF($AM3,1,0),
IF($AN3,1,0))</f>
        <v/>
      </c>
      <c r="L3" s="3">
        <f>IF($E3, "Has Syntax", "No Syntax") &amp; " &amp; " &amp; IF($P3, "Requires Parsing", "No Parsing Neede") &amp; " &amp; " &amp; IF($W3, "Describes the thing", "Is the Thing") &amp; " &amp; " &amp; IF($R3, "Has Linear Decoding Pressure", "No Decoding Pressure") &amp; " &amp; " &amp; IF($Q3, "Resolves to AST", "No AST") &amp; ", " &amp; IF($S3, "Is Stable Ontology", "Not 'Ontology'") &amp; " AND " &amp; IF($F3, "Can Be Held", "Can't Be Held") &amp; ", " &amp;IF($O3, "Has Identity", "Has no Identity")</f>
        <v/>
      </c>
      <c r="M3" s="3">
        <f>IF(NOT($H3 = $C3),
  $B3 &amp; " " &amp; IF($H3, "Is", "Isn't") &amp; " a Family Feud Language, but " &amp; 
  IF($C3, "Is", "Is Not") &amp; " marked as a 'Language Candidate.'", "") &amp; IF($Y3, " - Open World vs. Closed World Conflict.", "")</f>
        <v/>
      </c>
      <c r="N3" s="2" t="inlineStr">
        <is>
          <t>Physical Object</t>
        </is>
      </c>
      <c r="O3" s="2" t="b">
        <v>1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b">
        <v>0</v>
      </c>
      <c r="V3" s="2" t="b">
        <v>1</v>
      </c>
      <c r="W3" s="3">
        <f>$X3 &gt; 1</f>
        <v/>
      </c>
      <c r="X3" s="2" t="n">
        <v>1</v>
      </c>
      <c r="Y3" s="3">
        <f>AND($U3, $V3)</f>
        <v/>
      </c>
      <c r="Z3" s="2" t="inlineStr">
        <is>
          <t>N/A</t>
        </is>
      </c>
      <c r="AA3" s="3">
        <f>IF($X3 = 1, "IsMirrorOf", "IsDescriptionOf")</f>
        <v/>
      </c>
      <c r="AB3" s="2" t="inlineStr">
        <is>
          <t>NA</t>
        </is>
      </c>
      <c r="AC3" s="2" t="n">
        <v>2</v>
      </c>
      <c r="AD3" s="2" t="b">
        <v>0</v>
      </c>
      <c r="AE3" s="2" t="b">
        <v>0</v>
      </c>
      <c r="AF3" s="2" t="b">
        <v>0</v>
      </c>
      <c r="AG3" s="2" t="b">
        <v>0</v>
      </c>
      <c r="AH3" s="2" t="b">
        <v>0</v>
      </c>
      <c r="AI3" s="2" t="b">
        <v>0</v>
      </c>
      <c r="AJ3" s="2" t="b">
        <v>0</v>
      </c>
      <c r="AK3" s="2" t="b">
        <v>0</v>
      </c>
      <c r="AL3" s="2" t="b">
        <v>0</v>
      </c>
      <c r="AM3" s="2" t="b">
        <v>0</v>
      </c>
      <c r="AN3" s="2" t="b">
        <v>0</v>
      </c>
      <c r="AO3" s="2" t="b">
        <v>0</v>
      </c>
      <c r="AP3" s="2" t="inlineStr"/>
    </row>
    <row r="4">
      <c r="A4" s="2" t="inlineStr">
        <is>
          <t>spoken-words</t>
        </is>
      </c>
      <c r="B4" s="2" t="inlineStr">
        <is>
          <t>Spoken Words</t>
        </is>
      </c>
      <c r="C4" s="2" t="b">
        <v>1</v>
      </c>
      <c r="D4" s="3">
        <f>$E4 = TRUE()</f>
        <v/>
      </c>
      <c r="E4" s="2" t="b">
        <v>1</v>
      </c>
      <c r="F4" s="2" t="b">
        <v>0</v>
      </c>
      <c r="G4" s="3">
        <f>"Is " &amp; $B4 &amp; " a language?"</f>
        <v/>
      </c>
      <c r="H4" s="3">
        <f>OR(
  AND(
    $E4,
    $P4,
    $W4,
    $R4,
    $Q4,
    $S4,
    NOT($F4),
    NOT($O4)
  ),
  $K4 &gt; 0
)</f>
        <v/>
      </c>
      <c r="I4" s="3">
        <f>AND(
  $AO4,
  $AD4,
  $AE4,
  $AF4,
  $AG4,
  $AH4,
  $AI4,
  $AJ4
)</f>
        <v/>
      </c>
      <c r="J4" s="3">
        <f>AND(
  $I4,
  $AK4,
  $AL4
)</f>
        <v/>
      </c>
      <c r="K4" s="3">
        <f>SUM(IF($AD4,1,0),
IF($AE4,1,0),
IF($AF4,1,0),
IF($AG4,1,0),
IF($AH4,1,0),
IF($AI4,1,0),
IF($AJ4,1,0),
IF($AK4,1,0),
IF($AL4,1,0),
IF($AM4,1,0),
IF($AN4,1,0))</f>
        <v/>
      </c>
      <c r="L4" s="3">
        <f>IF($E4, "Has Syntax", "No Syntax") &amp; " &amp; " &amp; IF($P4, "Requires Parsing", "No Parsing Neede") &amp; " &amp; " &amp; IF($W4, "Describes the thing", "Is the Thing") &amp; " &amp; " &amp; IF($R4, "Has Linear Decoding Pressure", "No Decoding Pressure") &amp; " &amp; " &amp; IF($Q4, "Resolves to AST", "No AST") &amp; ", " &amp; IF($S4, "Is Stable Ontology", "Not 'Ontology'") &amp; " AND " &amp; IF($F4, "Can Be Held", "Can't Be Held") &amp; ", " &amp;IF($O4, "Has Identity", "Has no Identity")</f>
        <v/>
      </c>
      <c r="M4" s="3">
        <f>IF(NOT($H4 = $C4),
  $B4 &amp; " " &amp; IF($H4, "Is", "Isn't") &amp; " a Family Feud Language, but " &amp; 
  IF($C4, "Is", "Is Not") &amp; " marked as a 'Language Candidate.'", "") &amp; IF($Y4, " - Open World vs. Closed World Conflict.", "")</f>
        <v/>
      </c>
      <c r="N4" s="2" t="inlineStr">
        <is>
          <t>Natural Language</t>
        </is>
      </c>
      <c r="O4" s="2" t="b">
        <v>0</v>
      </c>
      <c r="P4" s="2" t="b">
        <v>1</v>
      </c>
      <c r="Q4" s="2" t="b">
        <v>1</v>
      </c>
      <c r="R4" s="2" t="b">
        <v>1</v>
      </c>
      <c r="S4" s="2" t="b">
        <v>1</v>
      </c>
      <c r="T4" s="2" t="b">
        <v>0</v>
      </c>
      <c r="U4" s="2" t="b">
        <v>1</v>
      </c>
      <c r="V4" s="2" t="b">
        <v>0</v>
      </c>
      <c r="W4" s="3">
        <f>$X4 &gt; 1</f>
        <v/>
      </c>
      <c r="X4" s="2" t="n">
        <v>2</v>
      </c>
      <c r="Y4" s="3">
        <f>AND($U4, $V4)</f>
        <v/>
      </c>
      <c r="Z4" s="2" t="inlineStr">
        <is>
          <t>OneDimensionalSymbolic</t>
        </is>
      </c>
      <c r="AA4" s="3">
        <f>IF($X4 = 1, "IsMirrorOf", "IsDescriptionOf")</f>
        <v/>
      </c>
      <c r="AB4" s="2" t="inlineStr">
        <is>
          <t>M1</t>
        </is>
      </c>
      <c r="AC4" s="2" t="n">
        <v>3</v>
      </c>
      <c r="AD4" s="2" t="b">
        <v>1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b">
        <v>1</v>
      </c>
      <c r="AM4" s="2" t="b">
        <v>1</v>
      </c>
      <c r="AN4" s="2" t="b">
        <v>1</v>
      </c>
      <c r="AO4" s="2" t="b">
        <v>1</v>
      </c>
      <c r="AP4" s="2" t="inlineStr">
        <is>
          <t>VocalAuditory</t>
        </is>
      </c>
    </row>
    <row r="5">
      <c r="A5" s="2" t="inlineStr">
        <is>
          <t>a-game-of-fortnite</t>
        </is>
      </c>
      <c r="B5" s="2" t="inlineStr">
        <is>
          <t>A Game of Fortnite</t>
        </is>
      </c>
      <c r="C5" s="2" t="b">
        <v>0</v>
      </c>
      <c r="D5" s="3">
        <f>$E5 = TRUE()</f>
        <v/>
      </c>
      <c r="E5" s="2" t="b">
        <v>0</v>
      </c>
      <c r="F5" s="2" t="b">
        <v>0</v>
      </c>
      <c r="G5" s="3">
        <f>"Is " &amp; $B5 &amp; " a language?"</f>
        <v/>
      </c>
      <c r="H5" s="3">
        <f>OR(
  AND(
    $E5,
    $P5,
    $W5,
    $R5,
    $Q5,
    $S5,
    NOT($F5),
    NOT($O5)
  ),
  $K5 &gt; 0
)</f>
        <v/>
      </c>
      <c r="I5" s="3">
        <f>AND(
  $AO5,
  $AD5,
  $AE5,
  $AF5,
  $AG5,
  $AH5,
  $AI5,
  $AJ5
)</f>
        <v/>
      </c>
      <c r="J5" s="3">
        <f>AND(
  $I5,
  $AK5,
  $AL5
)</f>
        <v/>
      </c>
      <c r="K5" s="3">
        <f>SUM(IF($AD5,1,0),
IF($AE5,1,0),
IF($AF5,1,0),
IF($AG5,1,0),
IF($AH5,1,0),
IF($AI5,1,0),
IF($AJ5,1,0),
IF($AK5,1,0),
IF($AL5,1,0),
IF($AM5,1,0),
IF($AN5,1,0))</f>
        <v/>
      </c>
      <c r="L5" s="3">
        <f>IF($E5, "Has Syntax", "No Syntax") &amp; " &amp; " &amp; IF($P5, "Requires Parsing", "No Parsing Neede") &amp; " &amp; " &amp; IF($W5, "Describes the thing", "Is the Thing") &amp; " &amp; " &amp; IF($R5, "Has Linear Decoding Pressure", "No Decoding Pressure") &amp; " &amp; " &amp; IF($Q5, "Resolves to AST", "No AST") &amp; ", " &amp; IF($S5, "Is Stable Ontology", "Not 'Ontology'") &amp; " AND " &amp; IF($F5, "Can Be Held", "Can't Be Held") &amp; ", " &amp;IF($O5, "Has Identity", "Has no Identity")</f>
        <v/>
      </c>
      <c r="M5" s="3">
        <f>IF(NOT($H5 = $C5),
  $B5 &amp; " " &amp; IF($H5, "Is", "Isn't") &amp; " a Family Feud Language, but " &amp; 
  IF($C5, "Is", "Is Not") &amp; " marked as a 'Language Candidate.'", "") &amp; IF($Y5, " - Open World vs. Closed World Conflict.", "")</f>
        <v/>
      </c>
      <c r="N5" s="2" t="inlineStr">
        <is>
          <t>Running Software</t>
        </is>
      </c>
      <c r="O5" s="2" t="b">
        <v>1</v>
      </c>
      <c r="P5" s="2" t="b">
        <v>1</v>
      </c>
      <c r="Q5" s="2" t="b">
        <v>0</v>
      </c>
      <c r="R5" s="2" t="b">
        <v>0</v>
      </c>
      <c r="S5" s="2" t="b">
        <v>0</v>
      </c>
      <c r="T5" s="2" t="b">
        <v>0</v>
      </c>
      <c r="U5" s="2" t="b">
        <v>0</v>
      </c>
      <c r="V5" s="2" t="b">
        <v>1</v>
      </c>
      <c r="W5" s="3">
        <f>$X5 &gt; 1</f>
        <v/>
      </c>
      <c r="X5" s="2" t="n">
        <v>1</v>
      </c>
      <c r="Y5" s="3">
        <f>AND($U5, $V5)</f>
        <v/>
      </c>
      <c r="Z5" s="2" t="inlineStr">
        <is>
          <t>MultiDimensionalNonSymbolic</t>
        </is>
      </c>
      <c r="AA5" s="3">
        <f>IF($X5 = 1, "IsMirrorOf", "IsDescriptionOf")</f>
        <v/>
      </c>
      <c r="AB5" s="2" t="inlineStr">
        <is>
          <t>M4</t>
        </is>
      </c>
      <c r="AC5" s="2" t="n">
        <v>4</v>
      </c>
      <c r="AD5" s="2" t="b">
        <v>0</v>
      </c>
      <c r="AE5" s="2" t="b">
        <v>0</v>
      </c>
      <c r="AF5" s="2" t="b">
        <v>0</v>
      </c>
      <c r="AG5" s="2" t="b">
        <v>0</v>
      </c>
      <c r="AH5" s="2" t="b">
        <v>0</v>
      </c>
      <c r="AI5" s="2" t="b">
        <v>0</v>
      </c>
      <c r="AJ5" s="2" t="b">
        <v>0</v>
      </c>
      <c r="AK5" s="2" t="b">
        <v>0</v>
      </c>
      <c r="AL5" s="2" t="b">
        <v>0</v>
      </c>
      <c r="AM5" s="2" t="b">
        <v>0</v>
      </c>
      <c r="AN5" s="2" t="b">
        <v>0</v>
      </c>
      <c r="AO5" s="2" t="b">
        <v>0</v>
      </c>
      <c r="AP5" s="2" t="inlineStr"/>
    </row>
    <row r="6">
      <c r="A6" s="2" t="inlineStr">
        <is>
          <t>sign-language</t>
        </is>
      </c>
      <c r="B6" s="2" t="inlineStr">
        <is>
          <t>Sign Language</t>
        </is>
      </c>
      <c r="C6" s="2" t="b">
        <v>1</v>
      </c>
      <c r="D6" s="3">
        <f>$E6 = TRUE()</f>
        <v/>
      </c>
      <c r="E6" s="2" t="b">
        <v>1</v>
      </c>
      <c r="F6" s="2" t="b">
        <v>0</v>
      </c>
      <c r="G6" s="3">
        <f>"Is " &amp; $B6 &amp; " a language?"</f>
        <v/>
      </c>
      <c r="H6" s="3">
        <f>OR(
  AND(
    $E6,
    $P6,
    $W6,
    $R6,
    $Q6,
    $S6,
    NOT($F6),
    NOT($O6)
  ),
  $K6 &gt; 0
)</f>
        <v/>
      </c>
      <c r="I6" s="3">
        <f>AND(
  $AO6,
  $AD6,
  $AE6,
  $AF6,
  $AG6,
  $AH6,
  $AI6,
  $AJ6
)</f>
        <v/>
      </c>
      <c r="J6" s="3">
        <f>AND(
  $I6,
  $AK6,
  $AL6
)</f>
        <v/>
      </c>
      <c r="K6" s="3">
        <f>SUM(IF($AD6,1,0),
IF($AE6,1,0),
IF($AF6,1,0),
IF($AG6,1,0),
IF($AH6,1,0),
IF($AI6,1,0),
IF($AJ6,1,0),
IF($AK6,1,0),
IF($AL6,1,0),
IF($AM6,1,0),
IF($AN6,1,0))</f>
        <v/>
      </c>
      <c r="L6" s="3">
        <f>IF($E6, "Has Syntax", "No Syntax") &amp; " &amp; " &amp; IF($P6, "Requires Parsing", "No Parsing Neede") &amp; " &amp; " &amp; IF($W6, "Describes the thing", "Is the Thing") &amp; " &amp; " &amp; IF($R6, "Has Linear Decoding Pressure", "No Decoding Pressure") &amp; " &amp; " &amp; IF($Q6, "Resolves to AST", "No AST") &amp; ", " &amp; IF($S6, "Is Stable Ontology", "Not 'Ontology'") &amp; " AND " &amp; IF($F6, "Can Be Held", "Can't Be Held") &amp; ", " &amp;IF($O6, "Has Identity", "Has no Identity")</f>
        <v/>
      </c>
      <c r="M6" s="3">
        <f>IF(NOT($H6 = $C6),
  $B6 &amp; " " &amp; IF($H6, "Is", "Isn't") &amp; " a Family Feud Language, but " &amp; 
  IF($C6, "Is", "Is Not") &amp; " marked as a 'Language Candidate.'", "") &amp; IF($Y6, " - Open World vs. Closed World Conflict.", "")</f>
        <v/>
      </c>
      <c r="N6" s="2" t="inlineStr">
        <is>
          <t>Natural Language</t>
        </is>
      </c>
      <c r="O6" s="2" t="b">
        <v>0</v>
      </c>
      <c r="P6" s="2" t="b">
        <v>1</v>
      </c>
      <c r="Q6" s="2" t="b">
        <v>1</v>
      </c>
      <c r="R6" s="2" t="b">
        <v>1</v>
      </c>
      <c r="S6" s="2" t="b">
        <v>1</v>
      </c>
      <c r="T6" s="2" t="b">
        <v>0</v>
      </c>
      <c r="U6" s="2" t="b">
        <v>1</v>
      </c>
      <c r="V6" s="2" t="b">
        <v>0</v>
      </c>
      <c r="W6" s="3">
        <f>$X6 &gt; 1</f>
        <v/>
      </c>
      <c r="X6" s="2" t="n">
        <v>2</v>
      </c>
      <c r="Y6" s="3">
        <f>AND($U6, $V6)</f>
        <v/>
      </c>
      <c r="Z6" s="2" t="inlineStr">
        <is>
          <t>OneDimensionalSymbolic</t>
        </is>
      </c>
      <c r="AA6" s="3">
        <f>IF($X6 = 1, "IsMirrorOf", "IsDescriptionOf")</f>
        <v/>
      </c>
      <c r="AB6" s="2" t="inlineStr">
        <is>
          <t>M1</t>
        </is>
      </c>
      <c r="AC6" s="2" t="n">
        <v>5</v>
      </c>
      <c r="AD6" s="2" t="b">
        <v>1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b">
        <v>1</v>
      </c>
      <c r="AM6" s="2" t="b">
        <v>1</v>
      </c>
      <c r="AN6" s="2" t="b">
        <v>1</v>
      </c>
      <c r="AO6" s="2" t="b">
        <v>1</v>
      </c>
      <c r="AP6" s="2" t="inlineStr">
        <is>
          <t>VisualGestural</t>
        </is>
      </c>
    </row>
    <row r="7">
      <c r="A7" s="2" t="inlineStr">
        <is>
          <t>editing-airtable-base</t>
        </is>
      </c>
      <c r="B7" s="2" t="inlineStr">
        <is>
          <t>Editing Airtable Base</t>
        </is>
      </c>
      <c r="C7" s="2" t="b">
        <v>0</v>
      </c>
      <c r="D7" s="3">
        <f>$E7 = TRUE()</f>
        <v/>
      </c>
      <c r="E7" s="2" t="b">
        <v>0</v>
      </c>
      <c r="F7" s="2" t="b">
        <v>0</v>
      </c>
      <c r="G7" s="3">
        <f>"Is " &amp; $B7 &amp; " a language?"</f>
        <v/>
      </c>
      <c r="H7" s="3">
        <f>OR(
  AND(
    $E7,
    $P7,
    $W7,
    $R7,
    $Q7,
    $S7,
    NOT($F7),
    NOT($O7)
  ),
  $K7 &gt; 0
)</f>
        <v/>
      </c>
      <c r="I7" s="3">
        <f>AND(
  $AO7,
  $AD7,
  $AE7,
  $AF7,
  $AG7,
  $AH7,
  $AI7,
  $AJ7
)</f>
        <v/>
      </c>
      <c r="J7" s="3">
        <f>AND(
  $I7,
  $AK7,
  $AL7
)</f>
        <v/>
      </c>
      <c r="K7" s="3">
        <f>SUM(IF($AD7,1,0),
IF($AE7,1,0),
IF($AF7,1,0),
IF($AG7,1,0),
IF($AH7,1,0),
IF($AI7,1,0),
IF($AJ7,1,0),
IF($AK7,1,0),
IF($AL7,1,0),
IF($AM7,1,0),
IF($AN7,1,0))</f>
        <v/>
      </c>
      <c r="L7" s="3">
        <f>IF($E7, "Has Syntax", "No Syntax") &amp; " &amp; " &amp; IF($P7, "Requires Parsing", "No Parsing Neede") &amp; " &amp; " &amp; IF($W7, "Describes the thing", "Is the Thing") &amp; " &amp; " &amp; IF($R7, "Has Linear Decoding Pressure", "No Decoding Pressure") &amp; " &amp; " &amp; IF($Q7, "Resolves to AST", "No AST") &amp; ", " &amp; IF($S7, "Is Stable Ontology", "Not 'Ontology'") &amp; " AND " &amp; IF($F7, "Can Be Held", "Can't Be Held") &amp; ", " &amp;IF($O7, "Has Identity", "Has no Identity")</f>
        <v/>
      </c>
      <c r="M7" s="3">
        <f>IF(NOT($H7 = $C7),
  $B7 &amp; " " &amp; IF($H7, "Is", "Isn't") &amp; " a Family Feud Language, but " &amp; 
  IF($C7, "Is", "Is Not") &amp; " marked as a 'Language Candidate.'", "") &amp; IF($Y7, " - Open World vs. Closed World Conflict.", "")</f>
        <v/>
      </c>
      <c r="N7" s="2" t="inlineStr">
        <is>
          <t>Running Software</t>
        </is>
      </c>
      <c r="O7" s="2" t="b">
        <v>1</v>
      </c>
      <c r="P7" s="2" t="b">
        <v>0</v>
      </c>
      <c r="Q7" s="2" t="b">
        <v>1</v>
      </c>
      <c r="R7" s="2" t="b">
        <v>0</v>
      </c>
      <c r="S7" s="2" t="b">
        <v>1</v>
      </c>
      <c r="T7" s="2" t="b">
        <v>1</v>
      </c>
      <c r="U7" s="2" t="b">
        <v>0</v>
      </c>
      <c r="V7" s="2" t="b">
        <v>1</v>
      </c>
      <c r="W7" s="3">
        <f>$X7 &gt; 1</f>
        <v/>
      </c>
      <c r="X7" s="2" t="n">
        <v>2</v>
      </c>
      <c r="Y7" s="3">
        <f>AND($U7, $V7)</f>
        <v/>
      </c>
      <c r="Z7" s="2" t="inlineStr">
        <is>
          <t>MultiDimensionalNonSymbolic</t>
        </is>
      </c>
      <c r="AA7" s="3">
        <f>IF($X7 = 1, "IsMirrorOf", "IsDescriptionOf")</f>
        <v/>
      </c>
      <c r="AB7" s="2" t="inlineStr">
        <is>
          <t>M4</t>
        </is>
      </c>
      <c r="AC7" s="2" t="n">
        <v>6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  <c r="AJ7" s="2" t="b">
        <v>0</v>
      </c>
      <c r="AK7" s="2" t="b">
        <v>0</v>
      </c>
      <c r="AL7" s="2" t="b">
        <v>0</v>
      </c>
      <c r="AM7" s="2" t="b">
        <v>0</v>
      </c>
      <c r="AN7" s="2" t="b">
        <v>0</v>
      </c>
      <c r="AO7" s="2" t="b">
        <v>0</v>
      </c>
      <c r="AP7" s="2" t="inlineStr"/>
    </row>
    <row r="8">
      <c r="A8" s="2" t="inlineStr">
        <is>
          <t>math</t>
        </is>
      </c>
      <c r="B8" s="2" t="inlineStr">
        <is>
          <t>Math</t>
        </is>
      </c>
      <c r="C8" s="2" t="b">
        <v>1</v>
      </c>
      <c r="D8" s="3">
        <f>$E8 = TRUE()</f>
        <v/>
      </c>
      <c r="E8" s="2" t="b">
        <v>1</v>
      </c>
      <c r="F8" s="2" t="b">
        <v>0</v>
      </c>
      <c r="G8" s="3">
        <f>"Is " &amp; $B8 &amp; " a language?"</f>
        <v/>
      </c>
      <c r="H8" s="3">
        <f>OR(
  AND(
    $E8,
    $P8,
    $W8,
    $R8,
    $Q8,
    $S8,
    NOT($F8),
    NOT($O8)
  ),
  $K8 &gt; 0
)</f>
        <v/>
      </c>
      <c r="I8" s="3">
        <f>AND(
  $AO8,
  $AD8,
  $AE8,
  $AF8,
  $AG8,
  $AH8,
  $AI8,
  $AJ8
)</f>
        <v/>
      </c>
      <c r="J8" s="3">
        <f>AND(
  $I8,
  $AK8,
  $AL8
)</f>
        <v/>
      </c>
      <c r="K8" s="3">
        <f>SUM(IF($AD8,1,0),
IF($AE8,1,0),
IF($AF8,1,0),
IF($AG8,1,0),
IF($AH8,1,0),
IF($AI8,1,0),
IF($AJ8,1,0),
IF($AK8,1,0),
IF($AL8,1,0),
IF($AM8,1,0),
IF($AN8,1,0))</f>
        <v/>
      </c>
      <c r="L8" s="3">
        <f>IF($E8, "Has Syntax", "No Syntax") &amp; " &amp; " &amp; IF($P8, "Requires Parsing", "No Parsing Neede") &amp; " &amp; " &amp; IF($W8, "Describes the thing", "Is the Thing") &amp; " &amp; " &amp; IF($R8, "Has Linear Decoding Pressure", "No Decoding Pressure") &amp; " &amp; " &amp; IF($Q8, "Resolves to AST", "No AST") &amp; ", " &amp; IF($S8, "Is Stable Ontology", "Not 'Ontology'") &amp; " AND " &amp; IF($F8, "Can Be Held", "Can't Be Held") &amp; ", " &amp;IF($O8, "Has Identity", "Has no Identity")</f>
        <v/>
      </c>
      <c r="M8" s="3">
        <f>IF(NOT($H8 = $C8),
  $B8 &amp; " " &amp; IF($H8, "Is", "Isn't") &amp; " a Family Feud Language, but " &amp; 
  IF($C8, "Is", "Is Not") &amp; " marked as a 'Language Candidate.'", "") &amp; IF($Y8, " - Open World vs. Closed World Conflict.", "")</f>
        <v/>
      </c>
      <c r="N8" s="2" t="inlineStr">
        <is>
          <t>Formal Language</t>
        </is>
      </c>
      <c r="O8" s="2" t="b">
        <v>0</v>
      </c>
      <c r="P8" s="2" t="b">
        <v>1</v>
      </c>
      <c r="Q8" s="2" t="b">
        <v>1</v>
      </c>
      <c r="R8" s="2" t="b">
        <v>1</v>
      </c>
      <c r="S8" s="2" t="b">
        <v>1</v>
      </c>
      <c r="T8" s="2" t="b">
        <v>0</v>
      </c>
      <c r="U8" s="2" t="b">
        <v>0</v>
      </c>
      <c r="V8" s="2" t="b">
        <v>1</v>
      </c>
      <c r="W8" s="3">
        <f>$X8 &gt; 1</f>
        <v/>
      </c>
      <c r="X8" s="2" t="n">
        <v>2</v>
      </c>
      <c r="Y8" s="3">
        <f>AND($U8, $V8)</f>
        <v/>
      </c>
      <c r="Z8" s="2" t="inlineStr">
        <is>
          <t>OneDimensionalSymbolic</t>
        </is>
      </c>
      <c r="AA8" s="3">
        <f>IF($X8 = 1, "IsMirrorOf", "IsDescriptionOf")</f>
        <v/>
      </c>
      <c r="AB8" s="2" t="inlineStr">
        <is>
          <t>M1</t>
        </is>
      </c>
      <c r="AC8" s="2" t="n">
        <v>7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  <c r="AJ8" s="2" t="b">
        <v>0</v>
      </c>
      <c r="AK8" s="2" t="b">
        <v>0</v>
      </c>
      <c r="AL8" s="2" t="b">
        <v>0</v>
      </c>
      <c r="AM8" s="2" t="b">
        <v>0</v>
      </c>
      <c r="AN8" s="2" t="b">
        <v>0</v>
      </c>
      <c r="AO8" s="2" t="b">
        <v>0</v>
      </c>
      <c r="AP8" s="2" t="inlineStr"/>
    </row>
    <row r="9">
      <c r="A9" s="2" t="inlineStr">
        <is>
          <t>falsifier-a</t>
        </is>
      </c>
      <c r="B9" s="2" t="inlineStr">
        <is>
          <t>Falsifier A</t>
        </is>
      </c>
      <c r="C9" s="2" t="b">
        <v>1</v>
      </c>
      <c r="D9" s="3">
        <f>$E9 = TRUE()</f>
        <v/>
      </c>
      <c r="E9" s="2" t="b">
        <v>0</v>
      </c>
      <c r="F9" s="2" t="b">
        <v>1</v>
      </c>
      <c r="G9" s="3">
        <f>"Is " &amp; $B9 &amp; " a language?"</f>
        <v/>
      </c>
      <c r="H9" s="3">
        <f>OR(
  AND(
    $E9,
    $P9,
    $W9,
    $R9,
    $Q9,
    $S9,
    NOT($F9),
    NOT($O9)
  ),
  $K9 &gt; 0
)</f>
        <v/>
      </c>
      <c r="I9" s="3">
        <f>AND(
  $AO9,
  $AD9,
  $AE9,
  $AF9,
  $AG9,
  $AH9,
  $AI9,
  $AJ9
)</f>
        <v/>
      </c>
      <c r="J9" s="3">
        <f>AND(
  $I9,
  $AK9,
  $AL9
)</f>
        <v/>
      </c>
      <c r="K9" s="3">
        <f>SUM(IF($AD9,1,0),
IF($AE9,1,0),
IF($AF9,1,0),
IF($AG9,1,0),
IF($AH9,1,0),
IF($AI9,1,0),
IF($AJ9,1,0),
IF($AK9,1,0),
IF($AL9,1,0),
IF($AM9,1,0),
IF($AN9,1,0))</f>
        <v/>
      </c>
      <c r="L9" s="3">
        <f>IF($E9, "Has Syntax", "No Syntax") &amp; " &amp; " &amp; IF($P9, "Requires Parsing", "No Parsing Neede") &amp; " &amp; " &amp; IF($W9, "Describes the thing", "Is the Thing") &amp; " &amp; " &amp; IF($R9, "Has Linear Decoding Pressure", "No Decoding Pressure") &amp; " &amp; " &amp; IF($Q9, "Resolves to AST", "No AST") &amp; ", " &amp; IF($S9, "Is Stable Ontology", "Not 'Ontology'") &amp; " AND " &amp; IF($F9, "Can Be Held", "Can't Be Held") &amp; ", " &amp;IF($O9, "Has Identity", "Has no Identity")</f>
        <v/>
      </c>
      <c r="M9" s="3">
        <f>IF(NOT($H9 = $C9),
  $B9 &amp; " " &amp; IF($H9, "Is", "Isn't") &amp; " a Family Feud Language, but " &amp; 
  IF($C9, "Is", "Is Not") &amp; " marked as a 'Language Candidate.'", "") &amp; IF($Y9, " - Open World vs. Closed World Conflict.", "")</f>
        <v/>
      </c>
      <c r="N9" s="2" t="inlineStr">
        <is>
          <t>MISSING: Have you seen this Language?</t>
        </is>
      </c>
      <c r="O9" s="2" t="b">
        <v>1</v>
      </c>
      <c r="P9" s="2" t="b">
        <v>1</v>
      </c>
      <c r="Q9" s="2" t="b">
        <v>1</v>
      </c>
      <c r="R9" s="2" t="b">
        <v>0</v>
      </c>
      <c r="S9" s="2" t="b">
        <v>1</v>
      </c>
      <c r="T9" s="2" t="b">
        <v>0</v>
      </c>
      <c r="U9" s="2" t="b">
        <v>0</v>
      </c>
      <c r="V9" s="2" t="b">
        <v>0</v>
      </c>
      <c r="W9" s="3">
        <f>$X9 &gt; 1</f>
        <v/>
      </c>
      <c r="X9" s="2" t="n">
        <v>1</v>
      </c>
      <c r="Y9" s="3">
        <f>AND($U9, $V9)</f>
        <v/>
      </c>
      <c r="Z9" s="2" t="inlineStr">
        <is>
          <t>N/A</t>
        </is>
      </c>
      <c r="AA9" s="3">
        <f>IF($X9 = 1, "IsMirrorOf", "IsDescriptionOf")</f>
        <v/>
      </c>
      <c r="AB9" s="2" t="inlineStr">
        <is>
          <t>NA</t>
        </is>
      </c>
      <c r="AC9" s="2" t="n">
        <v>8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  <c r="AJ9" s="2" t="b">
        <v>0</v>
      </c>
      <c r="AK9" s="2" t="b">
        <v>0</v>
      </c>
      <c r="AL9" s="2" t="b">
        <v>0</v>
      </c>
      <c r="AM9" s="2" t="b">
        <v>0</v>
      </c>
      <c r="AN9" s="2" t="b">
        <v>0</v>
      </c>
      <c r="AO9" s="2" t="b">
        <v>0</v>
      </c>
      <c r="AP9" s="2" t="inlineStr"/>
    </row>
    <row r="10">
      <c r="A10" s="2" t="inlineStr">
        <is>
          <t>falsifier-b</t>
        </is>
      </c>
      <c r="B10" s="2" t="inlineStr">
        <is>
          <t>Falsifier B</t>
        </is>
      </c>
      <c r="C10" s="2" t="b">
        <v>0</v>
      </c>
      <c r="D10" s="3">
        <f>$E10 = TRUE()</f>
        <v/>
      </c>
      <c r="E10" s="2" t="b">
        <v>1</v>
      </c>
      <c r="F10" s="2" t="b">
        <v>0</v>
      </c>
      <c r="G10" s="3">
        <f>"Is " &amp; $B10 &amp; " a language?"</f>
        <v/>
      </c>
      <c r="H10" s="3">
        <f>OR(
  AND(
    $E10,
    $P10,
    $W10,
    $R10,
    $Q10,
    $S10,
    NOT($F10),
    NOT($O10)
  ),
  $K10 &gt; 0
)</f>
        <v/>
      </c>
      <c r="I10" s="3">
        <f>AND(
  $AO10,
  $AD10,
  $AE10,
  $AF10,
  $AG10,
  $AH10,
  $AI10,
  $AJ10
)</f>
        <v/>
      </c>
      <c r="J10" s="3">
        <f>AND(
  $I10,
  $AK10,
  $AL10
)</f>
        <v/>
      </c>
      <c r="K10" s="3">
        <f>SUM(IF($AD10,1,0),
IF($AE10,1,0),
IF($AF10,1,0),
IF($AG10,1,0),
IF($AH10,1,0),
IF($AI10,1,0),
IF($AJ10,1,0),
IF($AK10,1,0),
IF($AL10,1,0),
IF($AM10,1,0),
IF($AN10,1,0))</f>
        <v/>
      </c>
      <c r="L10" s="3">
        <f>IF($E10, "Has Syntax", "No Syntax") &amp; " &amp; " &amp; IF($P10, "Requires Parsing", "No Parsing Neede") &amp; " &amp; " &amp; IF($W10, "Describes the thing", "Is the Thing") &amp; " &amp; " &amp; IF($R10, "Has Linear Decoding Pressure", "No Decoding Pressure") &amp; " &amp; " &amp; IF($Q10, "Resolves to AST", "No AST") &amp; ", " &amp; IF($S10, "Is Stable Ontology", "Not 'Ontology'") &amp; " AND " &amp; IF($F10, "Can Be Held", "Can't Be Held") &amp; ", " &amp;IF($O10, "Has Identity", "Has no Identity")</f>
        <v/>
      </c>
      <c r="M10" s="3">
        <f>IF(NOT($H10 = $C10),
  $B10 &amp; " " &amp; IF($H10, "Is", "Isn't") &amp; " a Family Feud Language, but " &amp; 
  IF($C10, "Is", "Is Not") &amp; " marked as a 'Language Candidate.'", "") &amp; IF($Y10, " - Open World vs. Closed World Conflict.", "")</f>
        <v/>
      </c>
      <c r="N10" s="2" t="inlineStr">
        <is>
          <t>MISSING: Have you seen this Language?</t>
        </is>
      </c>
      <c r="O10" s="2" t="b">
        <v>0</v>
      </c>
      <c r="P10" s="2" t="b">
        <v>1</v>
      </c>
      <c r="Q10" s="2" t="b">
        <v>1</v>
      </c>
      <c r="R10" s="2" t="b">
        <v>1</v>
      </c>
      <c r="S10" s="2" t="b">
        <v>1</v>
      </c>
      <c r="T10" s="2" t="b">
        <v>0</v>
      </c>
      <c r="U10" s="2" t="b">
        <v>0</v>
      </c>
      <c r="V10" s="2" t="b">
        <v>0</v>
      </c>
      <c r="W10" s="3">
        <f>$X10 &gt; 1</f>
        <v/>
      </c>
      <c r="X10" s="2" t="n">
        <v>2</v>
      </c>
      <c r="Y10" s="3">
        <f>AND($U10, $V10)</f>
        <v/>
      </c>
      <c r="Z10" s="2" t="inlineStr">
        <is>
          <t>N/A</t>
        </is>
      </c>
      <c r="AA10" s="3">
        <f>IF($X10 = 1, "IsMirrorOf", "IsDescriptionOf")</f>
        <v/>
      </c>
      <c r="AB10" s="2" t="inlineStr">
        <is>
          <t>M1</t>
        </is>
      </c>
      <c r="AC10" s="2" t="n">
        <v>9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0</v>
      </c>
      <c r="AL10" s="2" t="b">
        <v>0</v>
      </c>
      <c r="AM10" s="2" t="b">
        <v>0</v>
      </c>
      <c r="AN10" s="2" t="b">
        <v>0</v>
      </c>
      <c r="AO10" s="2" t="b">
        <v>0</v>
      </c>
      <c r="AP10" s="2" t="inlineStr"/>
    </row>
    <row r="11">
      <c r="A11" s="2" t="inlineStr">
        <is>
          <t>a-smartphone</t>
        </is>
      </c>
      <c r="B11" s="2" t="inlineStr">
        <is>
          <t>A Smartphone</t>
        </is>
      </c>
      <c r="C11" s="2" t="b">
        <v>0</v>
      </c>
      <c r="D11" s="3">
        <f>$E11 = TRUE()</f>
        <v/>
      </c>
      <c r="E11" s="2" t="b">
        <v>0</v>
      </c>
      <c r="F11" s="2" t="b">
        <v>1</v>
      </c>
      <c r="G11" s="3">
        <f>"Is " &amp; $B11 &amp; " a language?"</f>
        <v/>
      </c>
      <c r="H11" s="3">
        <f>OR(
  AND(
    $E11,
    $P11,
    $W11,
    $R11,
    $Q11,
    $S11,
    NOT($F11),
    NOT($O11)
  ),
  $K11 &gt; 0
)</f>
        <v/>
      </c>
      <c r="I11" s="3">
        <f>AND(
  $AO11,
  $AD11,
  $AE11,
  $AF11,
  $AG11,
  $AH11,
  $AI11,
  $AJ11
)</f>
        <v/>
      </c>
      <c r="J11" s="3">
        <f>AND(
  $I11,
  $AK11,
  $AL11
)</f>
        <v/>
      </c>
      <c r="K11" s="3">
        <f>SUM(IF($AD11,1,0),
IF($AE11,1,0),
IF($AF11,1,0),
IF($AG11,1,0),
IF($AH11,1,0),
IF($AI11,1,0),
IF($AJ11,1,0),
IF($AK11,1,0),
IF($AL11,1,0),
IF($AM11,1,0),
IF($AN11,1,0))</f>
        <v/>
      </c>
      <c r="L11" s="3">
        <f>IF($E11, "Has Syntax", "No Syntax") &amp; " &amp; " &amp; IF($P11, "Requires Parsing", "No Parsing Neede") &amp; " &amp; " &amp; IF($W11, "Describes the thing", "Is the Thing") &amp; " &amp; " &amp; IF($R11, "Has Linear Decoding Pressure", "No Decoding Pressure") &amp; " &amp; " &amp; IF($Q11, "Resolves to AST", "No AST") &amp; ", " &amp; IF($S11, "Is Stable Ontology", "Not 'Ontology'") &amp; " AND " &amp; IF($F11, "Can Be Held", "Can't Be Held") &amp; ", " &amp;IF($O11, "Has Identity", "Has no Identity")</f>
        <v/>
      </c>
      <c r="M11" s="3">
        <f>IF(NOT($H11 = $C11),
  $B11 &amp; " " &amp; IF($H11, "Is", "Isn't") &amp; " a Family Feud Language, but " &amp; 
  IF($C11, "Is", "Is Not") &amp; " marked as a 'Language Candidate.'", "") &amp; IF($Y11, " - Open World vs. Closed World Conflict.", "")</f>
        <v/>
      </c>
      <c r="N11" s="2" t="inlineStr">
        <is>
          <t>Physical Object</t>
        </is>
      </c>
      <c r="O11" s="2" t="b">
        <v>1</v>
      </c>
      <c r="P11" s="2" t="b">
        <v>0</v>
      </c>
      <c r="Q11" s="2" t="b">
        <v>0</v>
      </c>
      <c r="R11" s="2" t="b">
        <v>1</v>
      </c>
      <c r="S11" s="2" t="b">
        <v>0</v>
      </c>
      <c r="T11" s="2" t="b">
        <v>0</v>
      </c>
      <c r="U11" s="2" t="b">
        <v>0</v>
      </c>
      <c r="V11" s="2" t="b">
        <v>1</v>
      </c>
      <c r="W11" s="3">
        <f>$X11 &gt; 1</f>
        <v/>
      </c>
      <c r="X11" s="2" t="n">
        <v>1</v>
      </c>
      <c r="Y11" s="3">
        <f>AND($U11, $V11)</f>
        <v/>
      </c>
      <c r="Z11" s="2" t="inlineStr">
        <is>
          <t>N/A</t>
        </is>
      </c>
      <c r="AA11" s="3">
        <f>IF($X11 = 1, "IsMirrorOf", "IsDescriptionOf")</f>
        <v/>
      </c>
      <c r="AB11" s="2" t="inlineStr">
        <is>
          <t>NA</t>
        </is>
      </c>
      <c r="AC11" s="2" t="n">
        <v>10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  <c r="AJ11" s="2" t="b">
        <v>0</v>
      </c>
      <c r="AK11" s="2" t="b">
        <v>0</v>
      </c>
      <c r="AL11" s="2" t="b">
        <v>0</v>
      </c>
      <c r="AM11" s="2" t="b">
        <v>0</v>
      </c>
      <c r="AN11" s="2" t="b">
        <v>0</v>
      </c>
      <c r="AO11" s="2" t="b">
        <v>0</v>
      </c>
      <c r="AP11" s="2" t="inlineStr"/>
    </row>
    <row r="12">
      <c r="A12" s="2" t="inlineStr">
        <is>
          <t>python</t>
        </is>
      </c>
      <c r="B12" s="2" t="inlineStr">
        <is>
          <t>Python</t>
        </is>
      </c>
      <c r="C12" s="2" t="b">
        <v>1</v>
      </c>
      <c r="D12" s="3">
        <f>$E12 = TRUE()</f>
        <v/>
      </c>
      <c r="E12" s="2" t="b">
        <v>1</v>
      </c>
      <c r="F12" s="2" t="b">
        <v>0</v>
      </c>
      <c r="G12" s="3">
        <f>"Is " &amp; $B12 &amp; " a language?"</f>
        <v/>
      </c>
      <c r="H12" s="3">
        <f>OR(
  AND(
    $E12,
    $P12,
    $W12,
    $R12,
    $Q12,
    $S12,
    NOT($F12),
    NOT($O12)
  ),
  $K12 &gt; 0
)</f>
        <v/>
      </c>
      <c r="I12" s="3">
        <f>AND(
  $AO12,
  $AD12,
  $AE12,
  $AF12,
  $AG12,
  $AH12,
  $AI12,
  $AJ12
)</f>
        <v/>
      </c>
      <c r="J12" s="3">
        <f>AND(
  $I12,
  $AK12,
  $AL12
)</f>
        <v/>
      </c>
      <c r="K12" s="3">
        <f>SUM(IF($AD12,1,0),
IF($AE12,1,0),
IF($AF12,1,0),
IF($AG12,1,0),
IF($AH12,1,0),
IF($AI12,1,0),
IF($AJ12,1,0),
IF($AK12,1,0),
IF($AL12,1,0),
IF($AM12,1,0),
IF($AN12,1,0))</f>
        <v/>
      </c>
      <c r="L12" s="3">
        <f>IF($E12, "Has Syntax", "No Syntax") &amp; " &amp; " &amp; IF($P12, "Requires Parsing", "No Parsing Neede") &amp; " &amp; " &amp; IF($W12, "Describes the thing", "Is the Thing") &amp; " &amp; " &amp; IF($R12, "Has Linear Decoding Pressure", "No Decoding Pressure") &amp; " &amp; " &amp; IF($Q12, "Resolves to AST", "No AST") &amp; ", " &amp; IF($S12, "Is Stable Ontology", "Not 'Ontology'") &amp; " AND " &amp; IF($F12, "Can Be Held", "Can't Be Held") &amp; ", " &amp;IF($O12, "Has Identity", "Has no Identity")</f>
        <v/>
      </c>
      <c r="M12" s="3">
        <f>IF(NOT($H12 = $C12),
  $B12 &amp; " " &amp; IF($H12, "Is", "Isn't") &amp; " a Family Feud Language, but " &amp; 
  IF($C12, "Is", "Is Not") &amp; " marked as a 'Language Candidate.'", "") &amp; IF($Y12, " - Open World vs. Closed World Conflict.", "")</f>
        <v/>
      </c>
      <c r="N12" s="2" t="inlineStr">
        <is>
          <t>Formal Language</t>
        </is>
      </c>
      <c r="O12" s="2" t="b">
        <v>0</v>
      </c>
      <c r="P12" s="2" t="b">
        <v>1</v>
      </c>
      <c r="Q12" s="2" t="b">
        <v>1</v>
      </c>
      <c r="R12" s="2" t="b">
        <v>1</v>
      </c>
      <c r="S12" s="2" t="b">
        <v>1</v>
      </c>
      <c r="T12" s="2" t="b">
        <v>0</v>
      </c>
      <c r="U12" s="2" t="b">
        <v>1</v>
      </c>
      <c r="V12" s="2" t="b">
        <v>0</v>
      </c>
      <c r="W12" s="3">
        <f>$X12 &gt; 1</f>
        <v/>
      </c>
      <c r="X12" s="2" t="n">
        <v>2</v>
      </c>
      <c r="Y12" s="3">
        <f>AND($U12, $V12)</f>
        <v/>
      </c>
      <c r="Z12" s="2" t="inlineStr">
        <is>
          <t>OneDimensionalSymbolic</t>
        </is>
      </c>
      <c r="AA12" s="3">
        <f>IF($X12 = 1, "IsMirrorOf", "IsDescriptionOf")</f>
        <v/>
      </c>
      <c r="AB12" s="2" t="inlineStr">
        <is>
          <t>M1</t>
        </is>
      </c>
      <c r="AC12" s="2" t="n">
        <v>11</v>
      </c>
      <c r="AD12" s="2" t="b">
        <v>0</v>
      </c>
      <c r="AE12" s="2" t="b">
        <v>0</v>
      </c>
      <c r="AF12" s="2" t="b">
        <v>0</v>
      </c>
      <c r="AG12" s="2" t="b">
        <v>0</v>
      </c>
      <c r="AH12" s="2" t="b">
        <v>0</v>
      </c>
      <c r="AI12" s="2" t="b">
        <v>0</v>
      </c>
      <c r="AJ12" s="2" t="b">
        <v>0</v>
      </c>
      <c r="AK12" s="2" t="b">
        <v>0</v>
      </c>
      <c r="AL12" s="2" t="b">
        <v>0</v>
      </c>
      <c r="AM12" s="2" t="b">
        <v>0</v>
      </c>
      <c r="AN12" s="2" t="b">
        <v>0</v>
      </c>
      <c r="AO12" s="2" t="b">
        <v>0</v>
      </c>
      <c r="AP12" s="2" t="inlineStr"/>
    </row>
    <row r="13">
      <c r="A13" s="2" t="inlineStr">
        <is>
          <t>a-running-app</t>
        </is>
      </c>
      <c r="B13" s="2" t="inlineStr">
        <is>
          <t xml:space="preserve">A Running App </t>
        </is>
      </c>
      <c r="C13" s="2" t="b">
        <v>0</v>
      </c>
      <c r="D13" s="3">
        <f>$E13 = TRUE()</f>
        <v/>
      </c>
      <c r="E13" s="2" t="b">
        <v>0</v>
      </c>
      <c r="F13" s="2" t="b">
        <v>0</v>
      </c>
      <c r="G13" s="3">
        <f>"Is " &amp; $B13 &amp; " a language?"</f>
        <v/>
      </c>
      <c r="H13" s="3">
        <f>OR(
  AND(
    $E13,
    $P13,
    $W13,
    $R13,
    $Q13,
    $S13,
    NOT($F13),
    NOT($O13)
  ),
  $K13 &gt; 0
)</f>
        <v/>
      </c>
      <c r="I13" s="3">
        <f>AND(
  $AO13,
  $AD13,
  $AE13,
  $AF13,
  $AG13,
  $AH13,
  $AI13,
  $AJ13
)</f>
        <v/>
      </c>
      <c r="J13" s="3">
        <f>AND(
  $I13,
  $AK13,
  $AL13
)</f>
        <v/>
      </c>
      <c r="K13" s="3">
        <f>SUM(IF($AD13,1,0),
IF($AE13,1,0),
IF($AF13,1,0),
IF($AG13,1,0),
IF($AH13,1,0),
IF($AI13,1,0),
IF($AJ13,1,0),
IF($AK13,1,0),
IF($AL13,1,0),
IF($AM13,1,0),
IF($AN13,1,0))</f>
        <v/>
      </c>
      <c r="L13" s="3">
        <f>IF($E13, "Has Syntax", "No Syntax") &amp; " &amp; " &amp; IF($P13, "Requires Parsing", "No Parsing Neede") &amp; " &amp; " &amp; IF($W13, "Describes the thing", "Is the Thing") &amp; " &amp; " &amp; IF($R13, "Has Linear Decoding Pressure", "No Decoding Pressure") &amp; " &amp; " &amp; IF($Q13, "Resolves to AST", "No AST") &amp; ", " &amp; IF($S13, "Is Stable Ontology", "Not 'Ontology'") &amp; " AND " &amp; IF($F13, "Can Be Held", "Can't Be Held") &amp; ", " &amp;IF($O13, "Has Identity", "Has no Identity")</f>
        <v/>
      </c>
      <c r="M13" s="3">
        <f>IF(NOT($H13 = $C13),
  $B13 &amp; " " &amp; IF($H13, "Is", "Isn't") &amp; " a Family Feud Language, but " &amp; 
  IF($C13, "Is", "Is Not") &amp; " marked as a 'Language Candidate.'", "") &amp; IF($Y13, " - Open World vs. Closed World Conflict.", "")</f>
        <v/>
      </c>
      <c r="N13" s="2" t="inlineStr">
        <is>
          <t>Running Software</t>
        </is>
      </c>
      <c r="O13" s="2" t="b">
        <v>1</v>
      </c>
      <c r="P13" s="2" t="b">
        <v>1</v>
      </c>
      <c r="Q13" s="2" t="b">
        <v>0</v>
      </c>
      <c r="R13" s="2" t="b">
        <v>1</v>
      </c>
      <c r="S13" s="2" t="b">
        <v>0</v>
      </c>
      <c r="T13" s="2" t="b">
        <v>1</v>
      </c>
      <c r="U13" s="2" t="b">
        <v>0</v>
      </c>
      <c r="V13" s="2" t="b">
        <v>1</v>
      </c>
      <c r="W13" s="3">
        <f>$X13 &gt; 1</f>
        <v/>
      </c>
      <c r="X13" s="2" t="n">
        <v>1</v>
      </c>
      <c r="Y13" s="3">
        <f>AND($U13, $V13)</f>
        <v/>
      </c>
      <c r="Z13" s="2" t="inlineStr">
        <is>
          <t>MultiDimensionalNonSymbolic</t>
        </is>
      </c>
      <c r="AA13" s="3">
        <f>IF($X13 = 1, "IsMirrorOf", "IsDescriptionOf")</f>
        <v/>
      </c>
      <c r="AB13" s="2" t="inlineStr">
        <is>
          <t>M4</t>
        </is>
      </c>
      <c r="AC13" s="2" t="n">
        <v>12</v>
      </c>
      <c r="AD13" s="2" t="b">
        <v>0</v>
      </c>
      <c r="AE13" s="2" t="b">
        <v>0</v>
      </c>
      <c r="AF13" s="2" t="b">
        <v>0</v>
      </c>
      <c r="AG13" s="2" t="b">
        <v>0</v>
      </c>
      <c r="AH13" s="2" t="b">
        <v>0</v>
      </c>
      <c r="AI13" s="2" t="b">
        <v>0</v>
      </c>
      <c r="AJ13" s="2" t="b">
        <v>0</v>
      </c>
      <c r="AK13" s="2" t="b">
        <v>0</v>
      </c>
      <c r="AL13" s="2" t="b">
        <v>0</v>
      </c>
      <c r="AM13" s="2" t="b">
        <v>0</v>
      </c>
      <c r="AN13" s="2" t="b">
        <v>0</v>
      </c>
      <c r="AO13" s="2" t="b">
        <v>0</v>
      </c>
      <c r="AP13" s="2" t="inlineStr"/>
    </row>
    <row r="14">
      <c r="A14" s="2" t="inlineStr">
        <is>
          <t>an-xlsx-doc</t>
        </is>
      </c>
      <c r="B14" s="2" t="inlineStr">
        <is>
          <t>An XLSX Doc</t>
        </is>
      </c>
      <c r="C14" s="2" t="b">
        <v>1</v>
      </c>
      <c r="D14" s="3">
        <f>$E14 = TRUE()</f>
        <v/>
      </c>
      <c r="E14" s="2" t="b">
        <v>1</v>
      </c>
      <c r="F14" s="2" t="b">
        <v>0</v>
      </c>
      <c r="G14" s="3">
        <f>"Is " &amp; $B14 &amp; " a language?"</f>
        <v/>
      </c>
      <c r="H14" s="3">
        <f>OR(
  AND(
    $E14,
    $P14,
    $W14,
    $R14,
    $Q14,
    $S14,
    NOT($F14),
    NOT($O14)
  ),
  $K14 &gt; 0
)</f>
        <v/>
      </c>
      <c r="I14" s="3">
        <f>AND(
  $AO14,
  $AD14,
  $AE14,
  $AF14,
  $AG14,
  $AH14,
  $AI14,
  $AJ14
)</f>
        <v/>
      </c>
      <c r="J14" s="3">
        <f>AND(
  $I14,
  $AK14,
  $AL14
)</f>
        <v/>
      </c>
      <c r="K14" s="3">
        <f>SUM(IF($AD14,1,0),
IF($AE14,1,0),
IF($AF14,1,0),
IF($AG14,1,0),
IF($AH14,1,0),
IF($AI14,1,0),
IF($AJ14,1,0),
IF($AK14,1,0),
IF($AL14,1,0),
IF($AM14,1,0),
IF($AN14,1,0))</f>
        <v/>
      </c>
      <c r="L14" s="3">
        <f>IF($E14, "Has Syntax", "No Syntax") &amp; " &amp; " &amp; IF($P14, "Requires Parsing", "No Parsing Neede") &amp; " &amp; " &amp; IF($W14, "Describes the thing", "Is the Thing") &amp; " &amp; " &amp; IF($R14, "Has Linear Decoding Pressure", "No Decoding Pressure") &amp; " &amp; " &amp; IF($Q14, "Resolves to AST", "No AST") &amp; ", " &amp; IF($S14, "Is Stable Ontology", "Not 'Ontology'") &amp; " AND " &amp; IF($F14, "Can Be Held", "Can't Be Held") &amp; ", " &amp;IF($O14, "Has Identity", "Has no Identity")</f>
        <v/>
      </c>
      <c r="M14" s="3">
        <f>IF(NOT($H14 = $C14),
  $B14 &amp; " " &amp; IF($H14, "Is", "Isn't") &amp; " a Family Feud Language, but " &amp; 
  IF($C14, "Is", "Is Not") &amp; " marked as a 'Language Candidate.'", "") &amp; IF($Y14, " - Open World vs. Closed World Conflict.", "")</f>
        <v/>
      </c>
      <c r="N14" s="2" t="inlineStr">
        <is>
          <t>Formal Language</t>
        </is>
      </c>
      <c r="O14" s="2" t="b">
        <v>0</v>
      </c>
      <c r="P14" s="2" t="b">
        <v>1</v>
      </c>
      <c r="Q14" s="2" t="b">
        <v>1</v>
      </c>
      <c r="R14" s="2" t="b">
        <v>1</v>
      </c>
      <c r="S14" s="2" t="b">
        <v>1</v>
      </c>
      <c r="T14" s="2" t="b">
        <v>0</v>
      </c>
      <c r="U14" s="2" t="b">
        <v>0</v>
      </c>
      <c r="V14" s="2" t="b">
        <v>0</v>
      </c>
      <c r="W14" s="3">
        <f>$X14 &gt; 1</f>
        <v/>
      </c>
      <c r="X14" s="2" t="n">
        <v>2</v>
      </c>
      <c r="Y14" s="3">
        <f>AND($U14, $V14)</f>
        <v/>
      </c>
      <c r="Z14" s="2" t="inlineStr">
        <is>
          <t>OneDimensionalSymbolic</t>
        </is>
      </c>
      <c r="AA14" s="3">
        <f>IF($X14 = 1, "IsMirrorOf", "IsDescriptionOf")</f>
        <v/>
      </c>
      <c r="AB14" s="2" t="inlineStr">
        <is>
          <t>M2</t>
        </is>
      </c>
      <c r="AC14" s="2" t="n">
        <v>13</v>
      </c>
      <c r="AD14" s="2" t="b">
        <v>0</v>
      </c>
      <c r="AE14" s="2" t="b">
        <v>0</v>
      </c>
      <c r="AF14" s="2" t="b">
        <v>0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0</v>
      </c>
      <c r="AL14" s="2" t="b">
        <v>0</v>
      </c>
      <c r="AM14" s="2" t="b">
        <v>0</v>
      </c>
      <c r="AN14" s="2" t="b">
        <v>0</v>
      </c>
      <c r="AO14" s="2" t="b">
        <v>0</v>
      </c>
      <c r="AP14" s="2" t="inlineStr"/>
    </row>
    <row r="15">
      <c r="A15" s="2" t="inlineStr">
        <is>
          <t>xlsx-editing</t>
        </is>
      </c>
      <c r="B15" s="2" t="inlineStr">
        <is>
          <t>XLSX - Editing</t>
        </is>
      </c>
      <c r="C15" s="2" t="b">
        <v>0</v>
      </c>
      <c r="D15" s="3">
        <f>$E15 = TRUE()</f>
        <v/>
      </c>
      <c r="E15" s="2" t="b">
        <v>0</v>
      </c>
      <c r="F15" s="2" t="b">
        <v>0</v>
      </c>
      <c r="G15" s="3">
        <f>"Is " &amp; $B15 &amp; " a language?"</f>
        <v/>
      </c>
      <c r="H15" s="3">
        <f>OR(
  AND(
    $E15,
    $P15,
    $W15,
    $R15,
    $Q15,
    $S15,
    NOT($F15),
    NOT($O15)
  ),
  $K15 &gt; 0
)</f>
        <v/>
      </c>
      <c r="I15" s="3">
        <f>AND(
  $AO15,
  $AD15,
  $AE15,
  $AF15,
  $AG15,
  $AH15,
  $AI15,
  $AJ15
)</f>
        <v/>
      </c>
      <c r="J15" s="3">
        <f>AND(
  $I15,
  $AK15,
  $AL15
)</f>
        <v/>
      </c>
      <c r="K15" s="3">
        <f>SUM(IF($AD15,1,0),
IF($AE15,1,0),
IF($AF15,1,0),
IF($AG15,1,0),
IF($AH15,1,0),
IF($AI15,1,0),
IF($AJ15,1,0),
IF($AK15,1,0),
IF($AL15,1,0),
IF($AM15,1,0),
IF($AN15,1,0))</f>
        <v/>
      </c>
      <c r="L15" s="3">
        <f>IF($E15, "Has Syntax", "No Syntax") &amp; " &amp; " &amp; IF($P15, "Requires Parsing", "No Parsing Neede") &amp; " &amp; " &amp; IF($W15, "Describes the thing", "Is the Thing") &amp; " &amp; " &amp; IF($R15, "Has Linear Decoding Pressure", "No Decoding Pressure") &amp; " &amp; " &amp; IF($Q15, "Resolves to AST", "No AST") &amp; ", " &amp; IF($S15, "Is Stable Ontology", "Not 'Ontology'") &amp; " AND " &amp; IF($F15, "Can Be Held", "Can't Be Held") &amp; ", " &amp;IF($O15, "Has Identity", "Has no Identity")</f>
        <v/>
      </c>
      <c r="M15" s="3">
        <f>IF(NOT($H15 = $C15),
  $B15 &amp; " " &amp; IF($H15, "Is", "Isn't") &amp; " a Family Feud Language, but " &amp; 
  IF($C15, "Is", "Is Not") &amp; " marked as a 'Language Candidate.'", "") &amp; IF($Y15, " - Open World vs. Closed World Conflict.", "")</f>
        <v/>
      </c>
      <c r="N15" s="2" t="inlineStr">
        <is>
          <t>Running Software</t>
        </is>
      </c>
      <c r="O15" s="2" t="b">
        <v>0</v>
      </c>
      <c r="P15" s="2" t="b">
        <v>0</v>
      </c>
      <c r="Q15" s="2" t="b">
        <v>1</v>
      </c>
      <c r="R15" s="2" t="b">
        <v>0</v>
      </c>
      <c r="S15" s="2" t="b">
        <v>0</v>
      </c>
      <c r="T15" s="2" t="b">
        <v>1</v>
      </c>
      <c r="U15" s="2" t="b">
        <v>0</v>
      </c>
      <c r="V15" s="2" t="b">
        <v>0</v>
      </c>
      <c r="W15" s="3">
        <f>$X15 &gt; 1</f>
        <v/>
      </c>
      <c r="X15" s="2" t="n">
        <v>1</v>
      </c>
      <c r="Y15" s="3">
        <f>AND($U15, $V15)</f>
        <v/>
      </c>
      <c r="Z15" s="2" t="inlineStr">
        <is>
          <t>MultiDimensionalNonSymbolic</t>
        </is>
      </c>
      <c r="AA15" s="3">
        <f>IF($X15 = 1, "IsMirrorOf", "IsDescriptionOf")</f>
        <v/>
      </c>
      <c r="AB15" s="2" t="inlineStr">
        <is>
          <t>M4</t>
        </is>
      </c>
      <c r="AC15" s="2" t="n">
        <v>14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  <c r="AJ15" s="2" t="b">
        <v>0</v>
      </c>
      <c r="AK15" s="2" t="b">
        <v>0</v>
      </c>
      <c r="AL15" s="2" t="b">
        <v>0</v>
      </c>
      <c r="AM15" s="2" t="b">
        <v>0</v>
      </c>
      <c r="AN15" s="2" t="b">
        <v>0</v>
      </c>
      <c r="AO15" s="2" t="b">
        <v>0</v>
      </c>
      <c r="AP15" s="2" t="inlineStr"/>
    </row>
    <row r="16">
      <c r="A16" s="2" t="inlineStr">
        <is>
          <t>an-docx-doc</t>
        </is>
      </c>
      <c r="B16" s="2" t="inlineStr">
        <is>
          <t>An DOCX Doc</t>
        </is>
      </c>
      <c r="C16" s="2" t="b">
        <v>1</v>
      </c>
      <c r="D16" s="3">
        <f>$E16 = TRUE()</f>
        <v/>
      </c>
      <c r="E16" s="2" t="b">
        <v>1</v>
      </c>
      <c r="F16" s="2" t="b">
        <v>0</v>
      </c>
      <c r="G16" s="3">
        <f>"Is " &amp; $B16 &amp; " a language?"</f>
        <v/>
      </c>
      <c r="H16" s="3">
        <f>OR(
  AND(
    $E16,
    $P16,
    $W16,
    $R16,
    $Q16,
    $S16,
    NOT($F16),
    NOT($O16)
  ),
  $K16 &gt; 0
)</f>
        <v/>
      </c>
      <c r="I16" s="3">
        <f>AND(
  $AO16,
  $AD16,
  $AE16,
  $AF16,
  $AG16,
  $AH16,
  $AI16,
  $AJ16
)</f>
        <v/>
      </c>
      <c r="J16" s="3">
        <f>AND(
  $I16,
  $AK16,
  $AL16
)</f>
        <v/>
      </c>
      <c r="K16" s="3">
        <f>SUM(IF($AD16,1,0),
IF($AE16,1,0),
IF($AF16,1,0),
IF($AG16,1,0),
IF($AH16,1,0),
IF($AI16,1,0),
IF($AJ16,1,0),
IF($AK16,1,0),
IF($AL16,1,0),
IF($AM16,1,0),
IF($AN16,1,0))</f>
        <v/>
      </c>
      <c r="L16" s="3">
        <f>IF($E16, "Has Syntax", "No Syntax") &amp; " &amp; " &amp; IF($P16, "Requires Parsing", "No Parsing Neede") &amp; " &amp; " &amp; IF($W16, "Describes the thing", "Is the Thing") &amp; " &amp; " &amp; IF($R16, "Has Linear Decoding Pressure", "No Decoding Pressure") &amp; " &amp; " &amp; IF($Q16, "Resolves to AST", "No AST") &amp; ", " &amp; IF($S16, "Is Stable Ontology", "Not 'Ontology'") &amp; " AND " &amp; IF($F16, "Can Be Held", "Can't Be Held") &amp; ", " &amp;IF($O16, "Has Identity", "Has no Identity")</f>
        <v/>
      </c>
      <c r="M16" s="3">
        <f>IF(NOT($H16 = $C16),
  $B16 &amp; " " &amp; IF($H16, "Is", "Isn't") &amp; " a Family Feud Language, but " &amp; 
  IF($C16, "Is", "Is Not") &amp; " marked as a 'Language Candidate.'", "") &amp; IF($Y16, " - Open World vs. Closed World Conflict.", "")</f>
        <v/>
      </c>
      <c r="N16" s="2" t="inlineStr">
        <is>
          <t>Formal Language</t>
        </is>
      </c>
      <c r="O16" s="2" t="b">
        <v>0</v>
      </c>
      <c r="P16" s="2" t="b">
        <v>1</v>
      </c>
      <c r="Q16" s="2" t="b">
        <v>1</v>
      </c>
      <c r="R16" s="2" t="b">
        <v>1</v>
      </c>
      <c r="S16" s="2" t="b">
        <v>1</v>
      </c>
      <c r="T16" s="2" t="b">
        <v>0</v>
      </c>
      <c r="U16" s="2" t="b">
        <v>0</v>
      </c>
      <c r="V16" s="2" t="b">
        <v>0</v>
      </c>
      <c r="W16" s="3">
        <f>$X16 &gt; 1</f>
        <v/>
      </c>
      <c r="X16" s="2" t="n">
        <v>2</v>
      </c>
      <c r="Y16" s="3">
        <f>AND($U16, $V16)</f>
        <v/>
      </c>
      <c r="Z16" s="2" t="inlineStr">
        <is>
          <t>OneDimensionalSymbolic</t>
        </is>
      </c>
      <c r="AA16" s="3">
        <f>IF($X16 = 1, "IsMirrorOf", "IsDescriptionOf")</f>
        <v/>
      </c>
      <c r="AB16" s="2" t="inlineStr">
        <is>
          <t>M2</t>
        </is>
      </c>
      <c r="AC16" s="2" t="n">
        <v>15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  <c r="AJ16" s="2" t="b">
        <v>0</v>
      </c>
      <c r="AK16" s="2" t="b">
        <v>0</v>
      </c>
      <c r="AL16" s="2" t="b">
        <v>0</v>
      </c>
      <c r="AM16" s="2" t="b">
        <v>0</v>
      </c>
      <c r="AN16" s="2" t="b">
        <v>0</v>
      </c>
      <c r="AO16" s="2" t="b">
        <v>0</v>
      </c>
      <c r="AP16" s="2" t="inlineStr"/>
    </row>
    <row r="17">
      <c r="A17" s="2" t="inlineStr">
        <is>
          <t>docx-editing</t>
        </is>
      </c>
      <c r="B17" s="2" t="inlineStr">
        <is>
          <t>DOCX - Editing</t>
        </is>
      </c>
      <c r="C17" s="2" t="b">
        <v>0</v>
      </c>
      <c r="D17" s="3">
        <f>$E17 = TRUE()</f>
        <v/>
      </c>
      <c r="E17" s="2" t="b">
        <v>0</v>
      </c>
      <c r="F17" s="2" t="b">
        <v>0</v>
      </c>
      <c r="G17" s="3">
        <f>"Is " &amp; $B17 &amp; " a language?"</f>
        <v/>
      </c>
      <c r="H17" s="3">
        <f>OR(
  AND(
    $E17,
    $P17,
    $W17,
    $R17,
    $Q17,
    $S17,
    NOT($F17),
    NOT($O17)
  ),
  $K17 &gt; 0
)</f>
        <v/>
      </c>
      <c r="I17" s="3">
        <f>AND(
  $AO17,
  $AD17,
  $AE17,
  $AF17,
  $AG17,
  $AH17,
  $AI17,
  $AJ17
)</f>
        <v/>
      </c>
      <c r="J17" s="3">
        <f>AND(
  $I17,
  $AK17,
  $AL17
)</f>
        <v/>
      </c>
      <c r="K17" s="3">
        <f>SUM(IF($AD17,1,0),
IF($AE17,1,0),
IF($AF17,1,0),
IF($AG17,1,0),
IF($AH17,1,0),
IF($AI17,1,0),
IF($AJ17,1,0),
IF($AK17,1,0),
IF($AL17,1,0),
IF($AM17,1,0),
IF($AN17,1,0))</f>
        <v/>
      </c>
      <c r="L17" s="3">
        <f>IF($E17, "Has Syntax", "No Syntax") &amp; " &amp; " &amp; IF($P17, "Requires Parsing", "No Parsing Neede") &amp; " &amp; " &amp; IF($W17, "Describes the thing", "Is the Thing") &amp; " &amp; " &amp; IF($R17, "Has Linear Decoding Pressure", "No Decoding Pressure") &amp; " &amp; " &amp; IF($Q17, "Resolves to AST", "No AST") &amp; ", " &amp; IF($S17, "Is Stable Ontology", "Not 'Ontology'") &amp; " AND " &amp; IF($F17, "Can Be Held", "Can't Be Held") &amp; ", " &amp;IF($O17, "Has Identity", "Has no Identity")</f>
        <v/>
      </c>
      <c r="M17" s="3">
        <f>IF(NOT($H17 = $C17),
  $B17 &amp; " " &amp; IF($H17, "Is", "Isn't") &amp; " a Family Feud Language, but " &amp; 
  IF($C17, "Is", "Is Not") &amp; " marked as a 'Language Candidate.'", "") &amp; IF($Y17, " - Open World vs. Closed World Conflict.", "")</f>
        <v/>
      </c>
      <c r="N17" s="2" t="inlineStr">
        <is>
          <t>Running Software</t>
        </is>
      </c>
      <c r="O17" s="2" t="b">
        <v>0</v>
      </c>
      <c r="P17" s="2" t="b">
        <v>0</v>
      </c>
      <c r="Q17" s="2" t="b">
        <v>0</v>
      </c>
      <c r="R17" s="2" t="b">
        <v>0</v>
      </c>
      <c r="S17" s="2" t="b">
        <v>1</v>
      </c>
      <c r="T17" s="2" t="b">
        <v>1</v>
      </c>
      <c r="U17" s="2" t="b">
        <v>0</v>
      </c>
      <c r="V17" s="2" t="b">
        <v>0</v>
      </c>
      <c r="W17" s="3">
        <f>$X17 &gt; 1</f>
        <v/>
      </c>
      <c r="X17" s="2" t="n">
        <v>1</v>
      </c>
      <c r="Y17" s="3">
        <f>AND($U17, $V17)</f>
        <v/>
      </c>
      <c r="Z17" s="2" t="inlineStr">
        <is>
          <t>MultiDimensionalNonSymbolic</t>
        </is>
      </c>
      <c r="AA17" s="3">
        <f>IF($X17 = 1, "IsMirrorOf", "IsDescriptionOf")</f>
        <v/>
      </c>
      <c r="AB17" s="2" t="inlineStr">
        <is>
          <t>M4</t>
        </is>
      </c>
      <c r="AC17" s="2" t="n">
        <v>16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  <c r="AJ17" s="2" t="b">
        <v>0</v>
      </c>
      <c r="AK17" s="2" t="b">
        <v>0</v>
      </c>
      <c r="AL17" s="2" t="b">
        <v>0</v>
      </c>
      <c r="AM17" s="2" t="b">
        <v>0</v>
      </c>
      <c r="AN17" s="2" t="b">
        <v>0</v>
      </c>
      <c r="AO17" s="2" t="b">
        <v>0</v>
      </c>
      <c r="AP17" s="2" t="inlineStr"/>
    </row>
    <row r="18">
      <c r="A18" s="2" t="inlineStr">
        <is>
          <t>owl-rdf-graphql-generally</t>
        </is>
      </c>
      <c r="B18" s="2" t="inlineStr">
        <is>
          <t>OWL/RDF/GraphQL/... generally</t>
        </is>
      </c>
      <c r="C18" s="2" t="b">
        <v>1</v>
      </c>
      <c r="D18" s="3">
        <f>$E18 = TRUE()</f>
        <v/>
      </c>
      <c r="E18" s="2" t="b">
        <v>1</v>
      </c>
      <c r="F18" s="2" t="b">
        <v>0</v>
      </c>
      <c r="G18" s="3">
        <f>"Is " &amp; $B18 &amp; " a language?"</f>
        <v/>
      </c>
      <c r="H18" s="3">
        <f>OR(
  AND(
    $E18,
    $P18,
    $W18,
    $R18,
    $Q18,
    $S18,
    NOT($F18),
    NOT($O18)
  ),
  $K18 &gt; 0
)</f>
        <v/>
      </c>
      <c r="I18" s="3">
        <f>AND(
  $AO18,
  $AD18,
  $AE18,
  $AF18,
  $AG18,
  $AH18,
  $AI18,
  $AJ18
)</f>
        <v/>
      </c>
      <c r="J18" s="3">
        <f>AND(
  $I18,
  $AK18,
  $AL18
)</f>
        <v/>
      </c>
      <c r="K18" s="3">
        <f>SUM(IF($AD18,1,0),
IF($AE18,1,0),
IF($AF18,1,0),
IF($AG18,1,0),
IF($AH18,1,0),
IF($AI18,1,0),
IF($AJ18,1,0),
IF($AK18,1,0),
IF($AL18,1,0),
IF($AM18,1,0),
IF($AN18,1,0))</f>
        <v/>
      </c>
      <c r="L18" s="3">
        <f>IF($E18, "Has Syntax", "No Syntax") &amp; " &amp; " &amp; IF($P18, "Requires Parsing", "No Parsing Neede") &amp; " &amp; " &amp; IF($W18, "Describes the thing", "Is the Thing") &amp; " &amp; " &amp; IF($R18, "Has Linear Decoding Pressure", "No Decoding Pressure") &amp; " &amp; " &amp; IF($Q18, "Resolves to AST", "No AST") &amp; ", " &amp; IF($S18, "Is Stable Ontology", "Not 'Ontology'") &amp; " AND " &amp; IF($F18, "Can Be Held", "Can't Be Held") &amp; ", " &amp;IF($O18, "Has Identity", "Has no Identity")</f>
        <v/>
      </c>
      <c r="M18" s="3">
        <f>IF(NOT($H18 = $C18),
  $B18 &amp; " " &amp; IF($H18, "Is", "Isn't") &amp; " a Family Feud Language, but " &amp; 
  IF($C18, "Is", "Is Not") &amp; " marked as a 'Language Candidate.'", "") &amp; IF($Y18, " - Open World vs. Closed World Conflict.", "")</f>
        <v/>
      </c>
      <c r="N18" s="2" t="inlineStr">
        <is>
          <t>Natural Language</t>
        </is>
      </c>
      <c r="O18" s="2" t="b">
        <v>0</v>
      </c>
      <c r="P18" s="2" t="b">
        <v>1</v>
      </c>
      <c r="Q18" s="2" t="b">
        <v>1</v>
      </c>
      <c r="R18" s="2" t="b">
        <v>1</v>
      </c>
      <c r="S18" s="2" t="b">
        <v>1</v>
      </c>
      <c r="T18" s="2" t="b">
        <v>0</v>
      </c>
      <c r="U18" s="2" t="b">
        <v>0</v>
      </c>
      <c r="V18" s="2" t="b">
        <v>1</v>
      </c>
      <c r="W18" s="3">
        <f>$X18 &gt; 1</f>
        <v/>
      </c>
      <c r="X18" s="2" t="n">
        <v>2</v>
      </c>
      <c r="Y18" s="3">
        <f>AND($U18, $V18)</f>
        <v/>
      </c>
      <c r="Z18" s="2" t="inlineStr">
        <is>
          <t>OneDimensionalSymbolic</t>
        </is>
      </c>
      <c r="AA18" s="3">
        <f>IF($X18 = 1, "IsMirrorOf", "IsDescriptionOf")</f>
        <v/>
      </c>
      <c r="AB18" s="2" t="inlineStr">
        <is>
          <t>M2</t>
        </is>
      </c>
      <c r="AC18" s="2" t="n">
        <v>17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  <c r="AJ18" s="2" t="b">
        <v>0</v>
      </c>
      <c r="AK18" s="2" t="b">
        <v>0</v>
      </c>
      <c r="AL18" s="2" t="b">
        <v>0</v>
      </c>
      <c r="AM18" s="2" t="b">
        <v>0</v>
      </c>
      <c r="AN18" s="2" t="b">
        <v>0</v>
      </c>
      <c r="AO18" s="2" t="b">
        <v>0</v>
      </c>
      <c r="AP18" s="2" t="inlineStr"/>
    </row>
    <row r="19">
      <c r="A19" s="2" t="inlineStr">
        <is>
          <t>a-thunderstorm</t>
        </is>
      </c>
      <c r="B19" s="2" t="inlineStr">
        <is>
          <t>A Thunderstorm</t>
        </is>
      </c>
      <c r="C19" s="2" t="b">
        <v>0</v>
      </c>
      <c r="D19" s="3">
        <f>$E19 = TRUE()</f>
        <v/>
      </c>
      <c r="E19" s="2" t="b">
        <v>0</v>
      </c>
      <c r="F19" s="2" t="b">
        <v>1</v>
      </c>
      <c r="G19" s="3">
        <f>"Is " &amp; $B19 &amp; " a language?"</f>
        <v/>
      </c>
      <c r="H19" s="3">
        <f>OR(
  AND(
    $E19,
    $P19,
    $W19,
    $R19,
    $Q19,
    $S19,
    NOT($F19),
    NOT($O19)
  ),
  $K19 &gt; 0
)</f>
        <v/>
      </c>
      <c r="I19" s="3">
        <f>AND(
  $AO19,
  $AD19,
  $AE19,
  $AF19,
  $AG19,
  $AH19,
  $AI19,
  $AJ19
)</f>
        <v/>
      </c>
      <c r="J19" s="3">
        <f>AND(
  $I19,
  $AK19,
  $AL19
)</f>
        <v/>
      </c>
      <c r="K19" s="3">
        <f>SUM(IF($AD19,1,0),
IF($AE19,1,0),
IF($AF19,1,0),
IF($AG19,1,0),
IF($AH19,1,0),
IF($AI19,1,0),
IF($AJ19,1,0),
IF($AK19,1,0),
IF($AL19,1,0),
IF($AM19,1,0),
IF($AN19,1,0))</f>
        <v/>
      </c>
      <c r="L19" s="3">
        <f>IF($E19, "Has Syntax", "No Syntax") &amp; " &amp; " &amp; IF($P19, "Requires Parsing", "No Parsing Neede") &amp; " &amp; " &amp; IF($W19, "Describes the thing", "Is the Thing") &amp; " &amp; " &amp; IF($R19, "Has Linear Decoding Pressure", "No Decoding Pressure") &amp; " &amp; " &amp; IF($Q19, "Resolves to AST", "No AST") &amp; ", " &amp; IF($S19, "Is Stable Ontology", "Not 'Ontology'") &amp; " AND " &amp; IF($F19, "Can Be Held", "Can't Be Held") &amp; ", " &amp;IF($O19, "Has Identity", "Has no Identity")</f>
        <v/>
      </c>
      <c r="M19" s="3">
        <f>IF(NOT($H19 = $C19),
  $B19 &amp; " " &amp; IF($H19, "Is", "Isn't") &amp; " a Family Feud Language, but " &amp; 
  IF($C19, "Is", "Is Not") &amp; " marked as a 'Language Candidate.'", "") &amp; IF($Y19, " - Open World vs. Closed World Conflict.", "")</f>
        <v/>
      </c>
      <c r="N19" s="2" t="inlineStr">
        <is>
          <t>Physical event</t>
        </is>
      </c>
      <c r="O19" s="2" t="b">
        <v>1</v>
      </c>
      <c r="P19" s="2" t="b">
        <v>1</v>
      </c>
      <c r="Q19" s="2" t="b">
        <v>1</v>
      </c>
      <c r="R19" s="2" t="b">
        <v>0</v>
      </c>
      <c r="S19" s="2" t="b">
        <v>0</v>
      </c>
      <c r="T19" s="2" t="b">
        <v>0</v>
      </c>
      <c r="U19" s="2" t="b">
        <v>0</v>
      </c>
      <c r="V19" s="2" t="b">
        <v>0</v>
      </c>
      <c r="W19" s="3">
        <f>$X19 &gt; 1</f>
        <v/>
      </c>
      <c r="X19" s="2" t="n">
        <v>1</v>
      </c>
      <c r="Y19" s="3">
        <f>AND($U19, $V19)</f>
        <v/>
      </c>
      <c r="Z19" s="2" t="inlineStr">
        <is>
          <t>N/A</t>
        </is>
      </c>
      <c r="AA19" s="3">
        <f>IF($X19 = 1, "IsMirrorOf", "IsDescriptionOf")</f>
        <v/>
      </c>
      <c r="AB19" s="2" t="inlineStr">
        <is>
          <t>NA</t>
        </is>
      </c>
      <c r="AC19" s="2" t="n">
        <v>18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0</v>
      </c>
      <c r="AL19" s="2" t="b">
        <v>0</v>
      </c>
      <c r="AM19" s="2" t="b">
        <v>0</v>
      </c>
      <c r="AN19" s="2" t="b">
        <v>0</v>
      </c>
      <c r="AO19" s="2" t="b">
        <v>0</v>
      </c>
      <c r="AP19" s="2" t="inlineStr"/>
    </row>
    <row r="20">
      <c r="A20" s="2" t="inlineStr">
        <is>
          <t>a-uml-file</t>
        </is>
      </c>
      <c r="B20" s="2" t="inlineStr">
        <is>
          <t>A UML File</t>
        </is>
      </c>
      <c r="C20" s="2" t="b">
        <v>1</v>
      </c>
      <c r="D20" s="3">
        <f>$E20 = TRUE()</f>
        <v/>
      </c>
      <c r="E20" s="2" t="b">
        <v>1</v>
      </c>
      <c r="F20" s="2" t="b">
        <v>0</v>
      </c>
      <c r="G20" s="3">
        <f>"Is " &amp; $B20 &amp; " a language?"</f>
        <v/>
      </c>
      <c r="H20" s="3">
        <f>OR(
  AND(
    $E20,
    $P20,
    $W20,
    $R20,
    $Q20,
    $S20,
    NOT($F20),
    NOT($O20)
  ),
  $K20 &gt; 0
)</f>
        <v/>
      </c>
      <c r="I20" s="3">
        <f>AND(
  $AO20,
  $AD20,
  $AE20,
  $AF20,
  $AG20,
  $AH20,
  $AI20,
  $AJ20
)</f>
        <v/>
      </c>
      <c r="J20" s="3">
        <f>AND(
  $I20,
  $AK20,
  $AL20
)</f>
        <v/>
      </c>
      <c r="K20" s="3">
        <f>SUM(IF($AD20,1,0),
IF($AE20,1,0),
IF($AF20,1,0),
IF($AG20,1,0),
IF($AH20,1,0),
IF($AI20,1,0),
IF($AJ20,1,0),
IF($AK20,1,0),
IF($AL20,1,0),
IF($AM20,1,0),
IF($AN20,1,0))</f>
        <v/>
      </c>
      <c r="L20" s="3">
        <f>IF($E20, "Has Syntax", "No Syntax") &amp; " &amp; " &amp; IF($P20, "Requires Parsing", "No Parsing Neede") &amp; " &amp; " &amp; IF($W20, "Describes the thing", "Is the Thing") &amp; " &amp; " &amp; IF($R20, "Has Linear Decoding Pressure", "No Decoding Pressure") &amp; " &amp; " &amp; IF($Q20, "Resolves to AST", "No AST") &amp; ", " &amp; IF($S20, "Is Stable Ontology", "Not 'Ontology'") &amp; " AND " &amp; IF($F20, "Can Be Held", "Can't Be Held") &amp; ", " &amp;IF($O20, "Has Identity", "Has no Identity")</f>
        <v/>
      </c>
      <c r="M20" s="3">
        <f>IF(NOT($H20 = $C20),
  $B20 &amp; " " &amp; IF($H20, "Is", "Isn't") &amp; " a Family Feud Language, but " &amp; 
  IF($C20, "Is", "Is Not") &amp; " marked as a 'Language Candidate.'", "") &amp; IF($Y20, " - Open World vs. Closed World Conflict.", "")</f>
        <v/>
      </c>
      <c r="N20" s="2" t="inlineStr">
        <is>
          <t>Formal Language</t>
        </is>
      </c>
      <c r="O20" s="2" t="b">
        <v>0</v>
      </c>
      <c r="P20" s="2" t="b">
        <v>1</v>
      </c>
      <c r="Q20" s="2" t="b">
        <v>1</v>
      </c>
      <c r="R20" s="2" t="b">
        <v>1</v>
      </c>
      <c r="S20" s="2" t="b">
        <v>1</v>
      </c>
      <c r="T20" s="2" t="b">
        <v>0</v>
      </c>
      <c r="U20" s="2" t="b">
        <v>0</v>
      </c>
      <c r="V20" s="2" t="b">
        <v>0</v>
      </c>
      <c r="W20" s="3">
        <f>$X20 &gt; 1</f>
        <v/>
      </c>
      <c r="X20" s="2" t="n">
        <v>2</v>
      </c>
      <c r="Y20" s="3">
        <f>AND($U20, $V20)</f>
        <v/>
      </c>
      <c r="Z20" s="2" t="inlineStr">
        <is>
          <t>OneDimensionalSymbolic</t>
        </is>
      </c>
      <c r="AA20" s="3">
        <f>IF($X20 = 1, "IsMirrorOf", "IsDescriptionOf")</f>
        <v/>
      </c>
      <c r="AB20" s="2" t="inlineStr">
        <is>
          <t>M2</t>
        </is>
      </c>
      <c r="AC20" s="2" t="n">
        <v>23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  <c r="AJ20" s="2" t="b">
        <v>0</v>
      </c>
      <c r="AK20" s="2" t="b">
        <v>0</v>
      </c>
      <c r="AL20" s="2" t="b">
        <v>0</v>
      </c>
      <c r="AM20" s="2" t="b">
        <v>0</v>
      </c>
      <c r="AN20" s="2" t="b">
        <v>0</v>
      </c>
      <c r="AO20" s="2" t="b">
        <v>0</v>
      </c>
      <c r="AP20" s="2" t="inlineStr"/>
    </row>
    <row r="21">
      <c r="A21" s="2" t="inlineStr">
        <is>
          <t>the-mona-lisa</t>
        </is>
      </c>
      <c r="B21" s="2" t="inlineStr">
        <is>
          <t>The Mona Lisa</t>
        </is>
      </c>
      <c r="C21" s="2" t="b">
        <v>0</v>
      </c>
      <c r="D21" s="3">
        <f>$E21 = TRUE()</f>
        <v/>
      </c>
      <c r="E21" s="2" t="b">
        <v>0</v>
      </c>
      <c r="F21" s="2" t="b">
        <v>1</v>
      </c>
      <c r="G21" s="3">
        <f>"Is " &amp; $B21 &amp; " a language?"</f>
        <v/>
      </c>
      <c r="H21" s="3">
        <f>OR(
  AND(
    $E21,
    $P21,
    $W21,
    $R21,
    $Q21,
    $S21,
    NOT($F21),
    NOT($O21)
  ),
  $K21 &gt; 0
)</f>
        <v/>
      </c>
      <c r="I21" s="3">
        <f>AND(
  $AO21,
  $AD21,
  $AE21,
  $AF21,
  $AG21,
  $AH21,
  $AI21,
  $AJ21
)</f>
        <v/>
      </c>
      <c r="J21" s="3">
        <f>AND(
  $I21,
  $AK21,
  $AL21
)</f>
        <v/>
      </c>
      <c r="K21" s="3">
        <f>SUM(IF($AD21,1,0),
IF($AE21,1,0),
IF($AF21,1,0),
IF($AG21,1,0),
IF($AH21,1,0),
IF($AI21,1,0),
IF($AJ21,1,0),
IF($AK21,1,0),
IF($AL21,1,0),
IF($AM21,1,0),
IF($AN21,1,0))</f>
        <v/>
      </c>
      <c r="L21" s="3">
        <f>IF($E21, "Has Syntax", "No Syntax") &amp; " &amp; " &amp; IF($P21, "Requires Parsing", "No Parsing Neede") &amp; " &amp; " &amp; IF($W21, "Describes the thing", "Is the Thing") &amp; " &amp; " &amp; IF($R21, "Has Linear Decoding Pressure", "No Decoding Pressure") &amp; " &amp; " &amp; IF($Q21, "Resolves to AST", "No AST") &amp; ", " &amp; IF($S21, "Is Stable Ontology", "Not 'Ontology'") &amp; " AND " &amp; IF($F21, "Can Be Held", "Can't Be Held") &amp; ", " &amp;IF($O21, "Has Identity", "Has no Identity")</f>
        <v/>
      </c>
      <c r="M21" s="3">
        <f>IF(NOT($H21 = $C21),
  $B21 &amp; " " &amp; IF($H21, "Is", "Isn't") &amp; " a Family Feud Language, but " &amp; 
  IF($C21, "Is", "Is Not") &amp; " marked as a 'Language Candidate.'", "") &amp; IF($Y21, " - Open World vs. Closed World Conflict.", "")</f>
        <v/>
      </c>
      <c r="N21" s="2" t="inlineStr">
        <is>
          <t>Physical Object</t>
        </is>
      </c>
      <c r="O21" s="2" t="b">
        <v>1</v>
      </c>
      <c r="P21" s="2" t="b">
        <v>0</v>
      </c>
      <c r="Q21" s="2" t="b">
        <v>0</v>
      </c>
      <c r="R21" s="2" t="b">
        <v>0</v>
      </c>
      <c r="S21" s="2" t="b">
        <v>1</v>
      </c>
      <c r="T21" s="2" t="b">
        <v>0</v>
      </c>
      <c r="U21" s="2" t="b">
        <v>0</v>
      </c>
      <c r="V21" s="2" t="b">
        <v>0</v>
      </c>
      <c r="W21" s="3">
        <f>$X21 &gt; 1</f>
        <v/>
      </c>
      <c r="X21" s="2" t="n">
        <v>1</v>
      </c>
      <c r="Y21" s="3">
        <f>AND($U21, $V21)</f>
        <v/>
      </c>
      <c r="Z21" s="2" t="inlineStr">
        <is>
          <t>N/A</t>
        </is>
      </c>
      <c r="AA21" s="3">
        <f>IF($X21 = 1, "IsMirrorOf", "IsDescriptionOf")</f>
        <v/>
      </c>
      <c r="AB21" s="2" t="inlineStr">
        <is>
          <t>NA</t>
        </is>
      </c>
      <c r="AC21" s="2" t="n">
        <v>20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  <c r="AJ21" s="2" t="b">
        <v>0</v>
      </c>
      <c r="AK21" s="2" t="b">
        <v>0</v>
      </c>
      <c r="AL21" s="2" t="b">
        <v>0</v>
      </c>
      <c r="AM21" s="2" t="b">
        <v>0</v>
      </c>
      <c r="AN21" s="2" t="b">
        <v>0</v>
      </c>
      <c r="AO21" s="2" t="b">
        <v>0</v>
      </c>
      <c r="AP21" s="2" t="inlineStr"/>
    </row>
    <row r="22">
      <c r="A22" s="2" t="inlineStr">
        <is>
          <t>binary-code</t>
        </is>
      </c>
      <c r="B22" s="2" t="inlineStr">
        <is>
          <t>Binary Code</t>
        </is>
      </c>
      <c r="C22" s="2" t="b">
        <v>1</v>
      </c>
      <c r="D22" s="3">
        <f>$E22 = TRUE()</f>
        <v/>
      </c>
      <c r="E22" s="2" t="b">
        <v>1</v>
      </c>
      <c r="F22" s="2" t="b">
        <v>0</v>
      </c>
      <c r="G22" s="3">
        <f>"Is " &amp; $B22 &amp; " a language?"</f>
        <v/>
      </c>
      <c r="H22" s="3">
        <f>OR(
  AND(
    $E22,
    $P22,
    $W22,
    $R22,
    $Q22,
    $S22,
    NOT($F22),
    NOT($O22)
  ),
  $K22 &gt; 0
)</f>
        <v/>
      </c>
      <c r="I22" s="3">
        <f>AND(
  $AO22,
  $AD22,
  $AE22,
  $AF22,
  $AG22,
  $AH22,
  $AI22,
  $AJ22
)</f>
        <v/>
      </c>
      <c r="J22" s="3">
        <f>AND(
  $I22,
  $AK22,
  $AL22
)</f>
        <v/>
      </c>
      <c r="K22" s="3">
        <f>SUM(IF($AD22,1,0),
IF($AE22,1,0),
IF($AF22,1,0),
IF($AG22,1,0),
IF($AH22,1,0),
IF($AI22,1,0),
IF($AJ22,1,0),
IF($AK22,1,0),
IF($AL22,1,0),
IF($AM22,1,0),
IF($AN22,1,0))</f>
        <v/>
      </c>
      <c r="L22" s="3">
        <f>IF($E22, "Has Syntax", "No Syntax") &amp; " &amp; " &amp; IF($P22, "Requires Parsing", "No Parsing Neede") &amp; " &amp; " &amp; IF($W22, "Describes the thing", "Is the Thing") &amp; " &amp; " &amp; IF($R22, "Has Linear Decoding Pressure", "No Decoding Pressure") &amp; " &amp; " &amp; IF($Q22, "Resolves to AST", "No AST") &amp; ", " &amp; IF($S22, "Is Stable Ontology", "Not 'Ontology'") &amp; " AND " &amp; IF($F22, "Can Be Held", "Can't Be Held") &amp; ", " &amp;IF($O22, "Has Identity", "Has no Identity")</f>
        <v/>
      </c>
      <c r="M22" s="3">
        <f>IF(NOT($H22 = $C22),
  $B22 &amp; " " &amp; IF($H22, "Is", "Isn't") &amp; " a Family Feud Language, but " &amp; 
  IF($C22, "Is", "Is Not") &amp; " marked as a 'Language Candidate.'", "") &amp; IF($Y22, " - Open World vs. Closed World Conflict.", "")</f>
        <v/>
      </c>
      <c r="N22" s="2" t="inlineStr">
        <is>
          <t>Formal Language</t>
        </is>
      </c>
      <c r="O22" s="2" t="b">
        <v>0</v>
      </c>
      <c r="P22" s="2" t="b">
        <v>1</v>
      </c>
      <c r="Q22" s="2" t="b">
        <v>1</v>
      </c>
      <c r="R22" s="2" t="b">
        <v>1</v>
      </c>
      <c r="S22" s="2" t="b">
        <v>1</v>
      </c>
      <c r="T22" s="2" t="b">
        <v>0</v>
      </c>
      <c r="U22" s="2" t="b">
        <v>0</v>
      </c>
      <c r="V22" s="2" t="b">
        <v>0</v>
      </c>
      <c r="W22" s="3">
        <f>$X22 &gt; 1</f>
        <v/>
      </c>
      <c r="X22" s="2" t="n">
        <v>2</v>
      </c>
      <c r="Y22" s="3">
        <f>AND($U22, $V22)</f>
        <v/>
      </c>
      <c r="Z22" s="2" t="inlineStr">
        <is>
          <t>OneDimensionalSymbolic</t>
        </is>
      </c>
      <c r="AA22" s="3">
        <f>IF($X22 = 1, "IsMirrorOf", "IsDescriptionOf")</f>
        <v/>
      </c>
      <c r="AB22" s="2" t="inlineStr">
        <is>
          <t>M2</t>
        </is>
      </c>
      <c r="AC22" s="2" t="n">
        <v>21</v>
      </c>
      <c r="AD22" s="2" t="b">
        <v>0</v>
      </c>
      <c r="AE22" s="2" t="b">
        <v>0</v>
      </c>
      <c r="AF22" s="2" t="b">
        <v>0</v>
      </c>
      <c r="AG22" s="2" t="b">
        <v>0</v>
      </c>
      <c r="AH22" s="2" t="b">
        <v>0</v>
      </c>
      <c r="AI22" s="2" t="b">
        <v>0</v>
      </c>
      <c r="AJ22" s="2" t="b">
        <v>0</v>
      </c>
      <c r="AK22" s="2" t="b">
        <v>0</v>
      </c>
      <c r="AL22" s="2" t="b">
        <v>0</v>
      </c>
      <c r="AM22" s="2" t="b">
        <v>0</v>
      </c>
      <c r="AN22" s="2" t="b">
        <v>0</v>
      </c>
      <c r="AO22" s="2" t="b">
        <v>0</v>
      </c>
      <c r="AP22" s="2" t="inlineStr"/>
    </row>
    <row r="23">
      <c r="A23" s="2" t="inlineStr">
        <is>
          <t>running-calculator-app</t>
        </is>
      </c>
      <c r="B23" s="2" t="inlineStr">
        <is>
          <t>Running Calculator App</t>
        </is>
      </c>
      <c r="C23" s="2" t="b">
        <v>0</v>
      </c>
      <c r="D23" s="3">
        <f>$E23 = TRUE()</f>
        <v/>
      </c>
      <c r="E23" s="2" t="b">
        <v>0</v>
      </c>
      <c r="F23" s="2" t="b">
        <v>0</v>
      </c>
      <c r="G23" s="3">
        <f>"Is " &amp; $B23 &amp; " a language?"</f>
        <v/>
      </c>
      <c r="H23" s="3">
        <f>OR(
  AND(
    $E23,
    $P23,
    $W23,
    $R23,
    $Q23,
    $S23,
    NOT($F23),
    NOT($O23)
  ),
  $K23 &gt; 0
)</f>
        <v/>
      </c>
      <c r="I23" s="3">
        <f>AND(
  $AO23,
  $AD23,
  $AE23,
  $AF23,
  $AG23,
  $AH23,
  $AI23,
  $AJ23
)</f>
        <v/>
      </c>
      <c r="J23" s="3">
        <f>AND(
  $I23,
  $AK23,
  $AL23
)</f>
        <v/>
      </c>
      <c r="K23" s="3">
        <f>SUM(IF($AD23,1,0),
IF($AE23,1,0),
IF($AF23,1,0),
IF($AG23,1,0),
IF($AH23,1,0),
IF($AI23,1,0),
IF($AJ23,1,0),
IF($AK23,1,0),
IF($AL23,1,0),
IF($AM23,1,0),
IF($AN23,1,0))</f>
        <v/>
      </c>
      <c r="L23" s="3">
        <f>IF($E23, "Has Syntax", "No Syntax") &amp; " &amp; " &amp; IF($P23, "Requires Parsing", "No Parsing Neede") &amp; " &amp; " &amp; IF($W23, "Describes the thing", "Is the Thing") &amp; " &amp; " &amp; IF($R23, "Has Linear Decoding Pressure", "No Decoding Pressure") &amp; " &amp; " &amp; IF($Q23, "Resolves to AST", "No AST") &amp; ", " &amp; IF($S23, "Is Stable Ontology", "Not 'Ontology'") &amp; " AND " &amp; IF($F23, "Can Be Held", "Can't Be Held") &amp; ", " &amp;IF($O23, "Has Identity", "Has no Identity")</f>
        <v/>
      </c>
      <c r="M23" s="3">
        <f>IF(NOT($H23 = $C23),
  $B23 &amp; " " &amp; IF($H23, "Is", "Isn't") &amp; " a Family Feud Language, but " &amp; 
  IF($C23, "Is", "Is Not") &amp; " marked as a 'Language Candidate.'", "") &amp; IF($Y23, " - Open World vs. Closed World Conflict.", "")</f>
        <v/>
      </c>
      <c r="N23" s="2" t="inlineStr">
        <is>
          <t>Running Software</t>
        </is>
      </c>
      <c r="O23" s="2" t="b">
        <v>1</v>
      </c>
      <c r="P23" s="2" t="b">
        <v>1</v>
      </c>
      <c r="Q23" s="2" t="b">
        <v>1</v>
      </c>
      <c r="R23" s="2" t="b">
        <v>0</v>
      </c>
      <c r="S23" s="2" t="b">
        <v>0</v>
      </c>
      <c r="T23" s="2" t="b">
        <v>0</v>
      </c>
      <c r="U23" s="2" t="b">
        <v>0</v>
      </c>
      <c r="V23" s="2" t="b">
        <v>0</v>
      </c>
      <c r="W23" s="3">
        <f>$X23 &gt; 1</f>
        <v/>
      </c>
      <c r="X23" s="2" t="n">
        <v>1</v>
      </c>
      <c r="Y23" s="3">
        <f>AND($U23, $V23)</f>
        <v/>
      </c>
      <c r="Z23" s="2" t="inlineStr">
        <is>
          <t>MultiDimensionalNonSymbolic</t>
        </is>
      </c>
      <c r="AA23" s="3">
        <f>IF($X23 = 1, "IsMirrorOf", "IsDescriptionOf")</f>
        <v/>
      </c>
      <c r="AB23" s="2" t="inlineStr">
        <is>
          <t>M1</t>
        </is>
      </c>
      <c r="AC23" s="2" t="n">
        <v>22</v>
      </c>
      <c r="AD23" s="2" t="b">
        <v>0</v>
      </c>
      <c r="AE23" s="2" t="b">
        <v>0</v>
      </c>
      <c r="AF23" s="2" t="b">
        <v>0</v>
      </c>
      <c r="AG23" s="2" t="b">
        <v>0</v>
      </c>
      <c r="AH23" s="2" t="b">
        <v>0</v>
      </c>
      <c r="AI23" s="2" t="b">
        <v>0</v>
      </c>
      <c r="AJ23" s="2" t="b">
        <v>0</v>
      </c>
      <c r="AK23" s="2" t="b">
        <v>0</v>
      </c>
      <c r="AL23" s="2" t="b">
        <v>0</v>
      </c>
      <c r="AM23" s="2" t="b">
        <v>0</v>
      </c>
      <c r="AN23" s="2" t="b">
        <v>0</v>
      </c>
      <c r="AO23" s="2" t="b">
        <v>0</v>
      </c>
      <c r="AP23" s="2" t="inlineStr"/>
    </row>
    <row r="24">
      <c r="A24" s="2" t="inlineStr">
        <is>
          <t>owa-cwa-falsifier</t>
        </is>
      </c>
      <c r="B24" s="2" t="inlineStr">
        <is>
          <t>OWA &amp; CWA Falsifier</t>
        </is>
      </c>
      <c r="C24" s="2" t="b">
        <v>1</v>
      </c>
      <c r="D24" s="3">
        <f>$E24 = TRUE()</f>
        <v/>
      </c>
      <c r="E24" s="2" t="b">
        <v>1</v>
      </c>
      <c r="F24" s="2" t="b">
        <v>0</v>
      </c>
      <c r="G24" s="3">
        <f>"Is " &amp; $B24 &amp; " a language?"</f>
        <v/>
      </c>
      <c r="H24" s="3">
        <f>OR(
  AND(
    $E24,
    $P24,
    $W24,
    $R24,
    $Q24,
    $S24,
    NOT($F24),
    NOT($O24)
  ),
  $K24 &gt; 0
)</f>
        <v/>
      </c>
      <c r="I24" s="3">
        <f>AND(
  $AO24,
  $AD24,
  $AE24,
  $AF24,
  $AG24,
  $AH24,
  $AI24,
  $AJ24
)</f>
        <v/>
      </c>
      <c r="J24" s="3">
        <f>AND(
  $I24,
  $AK24,
  $AL24
)</f>
        <v/>
      </c>
      <c r="K24" s="3">
        <f>SUM(IF($AD24,1,0),
IF($AE24,1,0),
IF($AF24,1,0),
IF($AG24,1,0),
IF($AH24,1,0),
IF($AI24,1,0),
IF($AJ24,1,0),
IF($AK24,1,0),
IF($AL24,1,0),
IF($AM24,1,0),
IF($AN24,1,0))</f>
        <v/>
      </c>
      <c r="L24" s="3">
        <f>IF($E24, "Has Syntax", "No Syntax") &amp; " &amp; " &amp; IF($P24, "Requires Parsing", "No Parsing Neede") &amp; " &amp; " &amp; IF($W24, "Describes the thing", "Is the Thing") &amp; " &amp; " &amp; IF($R24, "Has Linear Decoding Pressure", "No Decoding Pressure") &amp; " &amp; " &amp; IF($Q24, "Resolves to AST", "No AST") &amp; ", " &amp; IF($S24, "Is Stable Ontology", "Not 'Ontology'") &amp; " AND " &amp; IF($F24, "Can Be Held", "Can't Be Held") &amp; ", " &amp;IF($O24, "Has Identity", "Has no Identity")</f>
        <v/>
      </c>
      <c r="M24" s="3">
        <f>IF(NOT($H24 = $C24),
  $B24 &amp; " " &amp; IF($H24, "Is", "Isn't") &amp; " a Family Feud Language, but " &amp; 
  IF($C24, "Is", "Is Not") &amp; " marked as a 'Language Candidate.'", "") &amp; IF($Y24, " - Open World vs. Closed World Conflict.", "")</f>
        <v/>
      </c>
      <c r="N24" s="2" t="inlineStr">
        <is>
          <t>MISSING: Have you seen this Language?</t>
        </is>
      </c>
      <c r="O24" s="2" t="b">
        <v>0</v>
      </c>
      <c r="P24" s="2" t="b">
        <v>1</v>
      </c>
      <c r="Q24" s="2" t="b">
        <v>1</v>
      </c>
      <c r="R24" s="2" t="b">
        <v>1</v>
      </c>
      <c r="S24" s="2" t="b">
        <v>1</v>
      </c>
      <c r="T24" s="2" t="b">
        <v>0</v>
      </c>
      <c r="U24" s="2" t="b">
        <v>1</v>
      </c>
      <c r="V24" s="2" t="b">
        <v>1</v>
      </c>
      <c r="W24" s="3">
        <f>$X24 &gt; 1</f>
        <v/>
      </c>
      <c r="X24" s="2" t="n">
        <v>2</v>
      </c>
      <c r="Y24" s="3">
        <f>AND($U24, $V24)</f>
        <v/>
      </c>
      <c r="Z24" s="2" t="inlineStr">
        <is>
          <t>OneDimensionalSymbolic</t>
        </is>
      </c>
      <c r="AA24" s="3">
        <f>IF($X24 = 1, "IsMirrorOf", "IsDescriptionOf")</f>
        <v/>
      </c>
      <c r="AB24" s="2" t="inlineStr">
        <is>
          <t>M1</t>
        </is>
      </c>
      <c r="AC24" s="2" t="n">
        <v>23</v>
      </c>
      <c r="AD24" s="2" t="b">
        <v>0</v>
      </c>
      <c r="AE24" s="2" t="b">
        <v>0</v>
      </c>
      <c r="AF24" s="2" t="b">
        <v>0</v>
      </c>
      <c r="AG24" s="2" t="b">
        <v>0</v>
      </c>
      <c r="AH24" s="2" t="b">
        <v>0</v>
      </c>
      <c r="AI24" s="2" t="b">
        <v>0</v>
      </c>
      <c r="AJ24" s="2" t="b">
        <v>0</v>
      </c>
      <c r="AK24" s="2" t="b">
        <v>0</v>
      </c>
      <c r="AL24" s="2" t="b">
        <v>0</v>
      </c>
      <c r="AM24" s="2" t="b">
        <v>0</v>
      </c>
      <c r="AN24" s="2" t="b">
        <v>0</v>
      </c>
      <c r="AO24" s="2" t="b">
        <v>0</v>
      </c>
      <c r="AP24" s="2" t="inlineStr"/>
    </row>
    <row r="25">
      <c r="A25" s="2" t="inlineStr">
        <is>
          <t>honeybee-waggle-dance</t>
        </is>
      </c>
      <c r="B25" s="2" t="inlineStr">
        <is>
          <t>Honeybee Waggle Dance</t>
        </is>
      </c>
      <c r="C25" s="2" t="b">
        <v>1</v>
      </c>
      <c r="D25" s="3">
        <f>$E25 = TRUE()</f>
        <v/>
      </c>
      <c r="E25" s="2" t="b">
        <v>0</v>
      </c>
      <c r="F25" s="2" t="b">
        <v>0</v>
      </c>
      <c r="G25" s="3">
        <f>"Is " &amp; $B25 &amp; " a language?"</f>
        <v/>
      </c>
      <c r="H25" s="3">
        <f>OR(
  AND(
    $E25,
    $P25,
    $W25,
    $R25,
    $Q25,
    $S25,
    NOT($F25),
    NOT($O25)
  ),
  $K25 &gt; 0
)</f>
        <v/>
      </c>
      <c r="I25" s="3">
        <f>AND(
  $AO25,
  $AD25,
  $AE25,
  $AF25,
  $AG25,
  $AH25,
  $AI25,
  $AJ25
)</f>
        <v/>
      </c>
      <c r="J25" s="3">
        <f>AND(
  $I25,
  $AK25,
  $AL25
)</f>
        <v/>
      </c>
      <c r="K25" s="3">
        <f>SUM(IF($AD25,1,0),
IF($AE25,1,0),
IF($AF25,1,0),
IF($AG25,1,0),
IF($AH25,1,0),
IF($AI25,1,0),
IF($AJ25,1,0),
IF($AK25,1,0),
IF($AL25,1,0),
IF($AM25,1,0),
IF($AN25,1,0))</f>
        <v/>
      </c>
      <c r="L25" s="3">
        <f>IF($E25, "Has Syntax", "No Syntax") &amp; " &amp; " &amp; IF($P25, "Requires Parsing", "No Parsing Neede") &amp; " &amp; " &amp; IF($W25, "Describes the thing", "Is the Thing") &amp; " &amp; " &amp; IF($R25, "Has Linear Decoding Pressure", "No Decoding Pressure") &amp; " &amp; " &amp; IF($Q25, "Resolves to AST", "No AST") &amp; ", " &amp; IF($S25, "Is Stable Ontology", "Not 'Ontology'") &amp; " AND " &amp; IF($F25, "Can Be Held", "Can't Be Held") &amp; ", " &amp;IF($O25, "Has Identity", "Has no Identity")</f>
        <v/>
      </c>
      <c r="M25" s="3">
        <f>IF(NOT($H25 = $C25),
  $B25 &amp; " " &amp; IF($H25, "Is", "Isn't") &amp; " a Family Feud Language, but " &amp; 
  IF($C25, "Is", "Is Not") &amp; " marked as a 'Language Candidate.'", "") &amp; IF($Y25, " - Open World vs. Closed World Conflict.", "")</f>
        <v/>
      </c>
      <c r="N25" s="2" t="inlineStr">
        <is>
          <t>Natural Language</t>
        </is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2" t="b">
        <v>0</v>
      </c>
      <c r="U25" s="2" t="b">
        <v>0</v>
      </c>
      <c r="V25" s="2" t="b">
        <v>0</v>
      </c>
      <c r="W25" s="3">
        <f>$X25 &gt; 1</f>
        <v/>
      </c>
      <c r="X25" s="2" t="n">
        <v>0</v>
      </c>
      <c r="Y25" s="3">
        <f>AND($U25, $V25)</f>
        <v/>
      </c>
      <c r="Z25" s="2" t="inlineStr"/>
      <c r="AA25" s="3">
        <f>IF($X25 = 1, "IsMirrorOf", "IsDescriptionOf")</f>
        <v/>
      </c>
      <c r="AB25" s="2" t="inlineStr"/>
      <c r="AC25" s="2" t="n">
        <v>0</v>
      </c>
      <c r="AD25" s="2" t="b">
        <v>1</v>
      </c>
      <c r="AE25" s="2" t="b">
        <v>0</v>
      </c>
      <c r="AF25" s="2" t="b">
        <v>0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0</v>
      </c>
      <c r="AL25" s="2" t="b">
        <v>0</v>
      </c>
      <c r="AM25" s="2" t="b">
        <v>0</v>
      </c>
      <c r="AN25" s="2" t="b">
        <v>1</v>
      </c>
      <c r="AO25" s="2" t="b">
        <v>1</v>
      </c>
      <c r="AP25" s="2" t="inlineStr">
        <is>
          <t>Other</t>
        </is>
      </c>
    </row>
    <row r="26">
      <c r="A26" s="2" t="inlineStr">
        <is>
          <t>vervet-monkey-alarm-calls</t>
        </is>
      </c>
      <c r="B26" s="2" t="inlineStr">
        <is>
          <t>Vervet Monkey Alarm Calls</t>
        </is>
      </c>
      <c r="C26" s="2" t="b">
        <v>1</v>
      </c>
      <c r="D26" s="3">
        <f>$E26 = TRUE()</f>
        <v/>
      </c>
      <c r="E26" s="2" t="b">
        <v>0</v>
      </c>
      <c r="F26" s="2" t="b">
        <v>0</v>
      </c>
      <c r="G26" s="3">
        <f>"Is " &amp; $B26 &amp; " a language?"</f>
        <v/>
      </c>
      <c r="H26" s="3">
        <f>OR(
  AND(
    $E26,
    $P26,
    $W26,
    $R26,
    $Q26,
    $S26,
    NOT($F26),
    NOT($O26)
  ),
  $K26 &gt; 0
)</f>
        <v/>
      </c>
      <c r="I26" s="3">
        <f>AND(
  $AO26,
  $AD26,
  $AE26,
  $AF26,
  $AG26,
  $AH26,
  $AI26,
  $AJ26
)</f>
        <v/>
      </c>
      <c r="J26" s="3">
        <f>AND(
  $I26,
  $AK26,
  $AL26
)</f>
        <v/>
      </c>
      <c r="K26" s="3">
        <f>SUM(IF($AD26,1,0),
IF($AE26,1,0),
IF($AF26,1,0),
IF($AG26,1,0),
IF($AH26,1,0),
IF($AI26,1,0),
IF($AJ26,1,0),
IF($AK26,1,0),
IF($AL26,1,0),
IF($AM26,1,0),
IF($AN26,1,0))</f>
        <v/>
      </c>
      <c r="L26" s="3">
        <f>IF($E26, "Has Syntax", "No Syntax") &amp; " &amp; " &amp; IF($P26, "Requires Parsing", "No Parsing Neede") &amp; " &amp; " &amp; IF($W26, "Describes the thing", "Is the Thing") &amp; " &amp; " &amp; IF($R26, "Has Linear Decoding Pressure", "No Decoding Pressure") &amp; " &amp; " &amp; IF($Q26, "Resolves to AST", "No AST") &amp; ", " &amp; IF($S26, "Is Stable Ontology", "Not 'Ontology'") &amp; " AND " &amp; IF($F26, "Can Be Held", "Can't Be Held") &amp; ", " &amp;IF($O26, "Has Identity", "Has no Identity")</f>
        <v/>
      </c>
      <c r="M26" s="3">
        <f>IF(NOT($H26 = $C26),
  $B26 &amp; " " &amp; IF($H26, "Is", "Isn't") &amp; " a Family Feud Language, but " &amp; 
  IF($C26, "Is", "Is Not") &amp; " marked as a 'Language Candidate.'", "") &amp; IF($Y26, " - Open World vs. Closed World Conflict.", "")</f>
        <v/>
      </c>
      <c r="N26" s="2" t="inlineStr">
        <is>
          <t>Natural Language</t>
        </is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2" t="b">
        <v>0</v>
      </c>
      <c r="U26" s="2" t="b">
        <v>0</v>
      </c>
      <c r="V26" s="2" t="b">
        <v>0</v>
      </c>
      <c r="W26" s="3">
        <f>$X26 &gt; 1</f>
        <v/>
      </c>
      <c r="X26" s="2" t="n">
        <v>0</v>
      </c>
      <c r="Y26" s="3">
        <f>AND($U26, $V26)</f>
        <v/>
      </c>
      <c r="Z26" s="2" t="inlineStr"/>
      <c r="AA26" s="3">
        <f>IF($X26 = 1, "IsMirrorOf", "IsDescriptionOf")</f>
        <v/>
      </c>
      <c r="AB26" s="2" t="inlineStr"/>
      <c r="AC26" s="2" t="n">
        <v>0</v>
      </c>
      <c r="AD26" s="2" t="b">
        <v>1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0</v>
      </c>
      <c r="AL26" s="2" t="b">
        <v>0</v>
      </c>
      <c r="AM26" s="2" t="b">
        <v>0</v>
      </c>
      <c r="AN26" s="2" t="b">
        <v>1</v>
      </c>
      <c r="AO26" s="2" t="b">
        <v>1</v>
      </c>
      <c r="AP26" s="2" t="inlineStr">
        <is>
          <t>VocalAuditory</t>
        </is>
      </c>
    </row>
    <row r="27">
      <c r="A27" s="2" t="inlineStr">
        <is>
          <t>songbird-song-learned-dialects</t>
        </is>
      </c>
      <c r="B27" s="2" t="inlineStr">
        <is>
          <t>Songbird Song (learned dialects)</t>
        </is>
      </c>
      <c r="C27" s="2" t="b">
        <v>1</v>
      </c>
      <c r="D27" s="3">
        <f>$E27 = TRUE()</f>
        <v/>
      </c>
      <c r="E27" s="2" t="b">
        <v>1</v>
      </c>
      <c r="F27" s="2" t="b">
        <v>0</v>
      </c>
      <c r="G27" s="3">
        <f>"Is " &amp; $B27 &amp; " a language?"</f>
        <v/>
      </c>
      <c r="H27" s="3">
        <f>OR(
  AND(
    $E27,
    $P27,
    $W27,
    $R27,
    $Q27,
    $S27,
    NOT($F27),
    NOT($O27)
  ),
  $K27 &gt; 0
)</f>
        <v/>
      </c>
      <c r="I27" s="3">
        <f>AND(
  $AO27,
  $AD27,
  $AE27,
  $AF27,
  $AG27,
  $AH27,
  $AI27,
  $AJ27
)</f>
        <v/>
      </c>
      <c r="J27" s="3">
        <f>AND(
  $I27,
  $AK27,
  $AL27
)</f>
        <v/>
      </c>
      <c r="K27" s="3">
        <f>SUM(IF($AD27,1,0),
IF($AE27,1,0),
IF($AF27,1,0),
IF($AG27,1,0),
IF($AH27,1,0),
IF($AI27,1,0),
IF($AJ27,1,0),
IF($AK27,1,0),
IF($AL27,1,0),
IF($AM27,1,0),
IF($AN27,1,0))</f>
        <v/>
      </c>
      <c r="L27" s="3">
        <f>IF($E27, "Has Syntax", "No Syntax") &amp; " &amp; " &amp; IF($P27, "Requires Parsing", "No Parsing Neede") &amp; " &amp; " &amp; IF($W27, "Describes the thing", "Is the Thing") &amp; " &amp; " &amp; IF($R27, "Has Linear Decoding Pressure", "No Decoding Pressure") &amp; " &amp; " &amp; IF($Q27, "Resolves to AST", "No AST") &amp; ", " &amp; IF($S27, "Is Stable Ontology", "Not 'Ontology'") &amp; " AND " &amp; IF($F27, "Can Be Held", "Can't Be Held") &amp; ", " &amp;IF($O27, "Has Identity", "Has no Identity")</f>
        <v/>
      </c>
      <c r="M27" s="3">
        <f>IF(NOT($H27 = $C27),
  $B27 &amp; " " &amp; IF($H27, "Is", "Isn't") &amp; " a Family Feud Language, but " &amp; 
  IF($C27, "Is", "Is Not") &amp; " marked as a 'Language Candidate.'", "") &amp; IF($Y27, " - Open World vs. Closed World Conflict.", "")</f>
        <v/>
      </c>
      <c r="N27" s="2" t="inlineStr">
        <is>
          <t>Natural Language</t>
        </is>
      </c>
      <c r="O27" s="2" t="b">
        <v>0</v>
      </c>
      <c r="P27" s="2" t="b">
        <v>0</v>
      </c>
      <c r="Q27" s="2" t="b">
        <v>0</v>
      </c>
      <c r="R27" s="2" t="b">
        <v>0</v>
      </c>
      <c r="S27" s="2" t="b">
        <v>0</v>
      </c>
      <c r="T27" s="2" t="b">
        <v>0</v>
      </c>
      <c r="U27" s="2" t="b">
        <v>0</v>
      </c>
      <c r="V27" s="2" t="b">
        <v>0</v>
      </c>
      <c r="W27" s="3">
        <f>$X27 &gt; 1</f>
        <v/>
      </c>
      <c r="X27" s="2" t="n">
        <v>0</v>
      </c>
      <c r="Y27" s="3">
        <f>AND($U27, $V27)</f>
        <v/>
      </c>
      <c r="Z27" s="2" t="inlineStr"/>
      <c r="AA27" s="3">
        <f>IF($X27 = 1, "IsMirrorOf", "IsDescriptionOf")</f>
        <v/>
      </c>
      <c r="AB27" s="2" t="inlineStr"/>
      <c r="AC27" s="2" t="n">
        <v>0</v>
      </c>
      <c r="AD27" s="2" t="b">
        <v>0</v>
      </c>
      <c r="AE27" s="2" t="b">
        <v>1</v>
      </c>
      <c r="AF27" s="2" t="b">
        <v>1</v>
      </c>
      <c r="AG27" s="2" t="b">
        <v>0</v>
      </c>
      <c r="AH27" s="2" t="b">
        <v>0</v>
      </c>
      <c r="AI27" s="2" t="b">
        <v>0</v>
      </c>
      <c r="AJ27" s="2" t="b">
        <v>1</v>
      </c>
      <c r="AK27" s="2" t="b">
        <v>0</v>
      </c>
      <c r="AL27" s="2" t="b">
        <v>0</v>
      </c>
      <c r="AM27" s="2" t="b">
        <v>0</v>
      </c>
      <c r="AN27" s="2" t="b">
        <v>1</v>
      </c>
      <c r="AO27" s="2" t="b">
        <v>1</v>
      </c>
      <c r="AP27" s="2" t="inlineStr">
        <is>
          <t>VocalAuditory</t>
        </is>
      </c>
    </row>
    <row r="28">
      <c r="A28" s="2" t="inlineStr">
        <is>
          <t>killer-whale-pod-dialects</t>
        </is>
      </c>
      <c r="B28" s="2" t="inlineStr">
        <is>
          <t>Killer Whale Pod Dialects</t>
        </is>
      </c>
      <c r="C28" s="2" t="b">
        <v>1</v>
      </c>
      <c r="D28" s="3">
        <f>$E28 = TRUE()</f>
        <v/>
      </c>
      <c r="E28" s="2" t="b">
        <v>0</v>
      </c>
      <c r="F28" s="2" t="b">
        <v>0</v>
      </c>
      <c r="G28" s="3">
        <f>"Is " &amp; $B28 &amp; " a language?"</f>
        <v/>
      </c>
      <c r="H28" s="3">
        <f>OR(
  AND(
    $E28,
    $P28,
    $W28,
    $R28,
    $Q28,
    $S28,
    NOT($F28),
    NOT($O28)
  ),
  $K28 &gt; 0
)</f>
        <v/>
      </c>
      <c r="I28" s="3">
        <f>AND(
  $AO28,
  $AD28,
  $AE28,
  $AF28,
  $AG28,
  $AH28,
  $AI28,
  $AJ28
)</f>
        <v/>
      </c>
      <c r="J28" s="3">
        <f>AND(
  $I28,
  $AK28,
  $AL28
)</f>
        <v/>
      </c>
      <c r="K28" s="3">
        <f>SUM(IF($AD28,1,0),
IF($AE28,1,0),
IF($AF28,1,0),
IF($AG28,1,0),
IF($AH28,1,0),
IF($AI28,1,0),
IF($AJ28,1,0),
IF($AK28,1,0),
IF($AL28,1,0),
IF($AM28,1,0),
IF($AN28,1,0))</f>
        <v/>
      </c>
      <c r="L28" s="3">
        <f>IF($E28, "Has Syntax", "No Syntax") &amp; " &amp; " &amp; IF($P28, "Requires Parsing", "No Parsing Neede") &amp; " &amp; " &amp; IF($W28, "Describes the thing", "Is the Thing") &amp; " &amp; " &amp; IF($R28, "Has Linear Decoding Pressure", "No Decoding Pressure") &amp; " &amp; " &amp; IF($Q28, "Resolves to AST", "No AST") &amp; ", " &amp; IF($S28, "Is Stable Ontology", "Not 'Ontology'") &amp; " AND " &amp; IF($F28, "Can Be Held", "Can't Be Held") &amp; ", " &amp;IF($O28, "Has Identity", "Has no Identity")</f>
        <v/>
      </c>
      <c r="M28" s="3">
        <f>IF(NOT($H28 = $C28),
  $B28 &amp; " " &amp; IF($H28, "Is", "Isn't") &amp; " a Family Feud Language, but " &amp; 
  IF($C28, "Is", "Is Not") &amp; " marked as a 'Language Candidate.'", "") &amp; IF($Y28, " - Open World vs. Closed World Conflict.", "")</f>
        <v/>
      </c>
      <c r="N28" s="2" t="inlineStr">
        <is>
          <t>Natural Language</t>
        </is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0</v>
      </c>
      <c r="W28" s="3">
        <f>$X28 &gt; 1</f>
        <v/>
      </c>
      <c r="X28" s="2" t="n">
        <v>0</v>
      </c>
      <c r="Y28" s="3">
        <f>AND($U28, $V28)</f>
        <v/>
      </c>
      <c r="Z28" s="2" t="inlineStr"/>
      <c r="AA28" s="3">
        <f>IF($X28 = 1, "IsMirrorOf", "IsDescriptionOf")</f>
        <v/>
      </c>
      <c r="AB28" s="2" t="inlineStr"/>
      <c r="AC28" s="2" t="n">
        <v>0</v>
      </c>
      <c r="AD28" s="2" t="b">
        <v>0</v>
      </c>
      <c r="AE28" s="2" t="b">
        <v>1</v>
      </c>
      <c r="AF28" s="2" t="b">
        <v>0</v>
      </c>
      <c r="AG28" s="2" t="b">
        <v>0</v>
      </c>
      <c r="AH28" s="2" t="b">
        <v>0</v>
      </c>
      <c r="AI28" s="2" t="b">
        <v>1</v>
      </c>
      <c r="AJ28" s="2" t="b">
        <v>0</v>
      </c>
      <c r="AK28" s="2" t="b">
        <v>0</v>
      </c>
      <c r="AL28" s="2" t="b">
        <v>0</v>
      </c>
      <c r="AM28" s="2" t="b">
        <v>1</v>
      </c>
      <c r="AN28" s="2" t="b">
        <v>1</v>
      </c>
      <c r="AO28" s="2" t="b">
        <v>0</v>
      </c>
      <c r="AP28" s="2" t="inlineStr"/>
    </row>
    <row r="29">
      <c r="A29" s="2" t="inlineStr">
        <is>
          <t>dolphin-signature-whistles</t>
        </is>
      </c>
      <c r="B29" s="2" t="inlineStr">
        <is>
          <t>Dolphin Signature Whistles</t>
        </is>
      </c>
      <c r="C29" s="2" t="b">
        <v>1</v>
      </c>
      <c r="D29" s="3">
        <f>$E29 = TRUE()</f>
        <v/>
      </c>
      <c r="E29" s="2" t="b">
        <v>0</v>
      </c>
      <c r="F29" s="2" t="b">
        <v>0</v>
      </c>
      <c r="G29" s="3">
        <f>"Is " &amp; $B29 &amp; " a language?"</f>
        <v/>
      </c>
      <c r="H29" s="3">
        <f>OR(
  AND(
    $E29,
    $P29,
    $W29,
    $R29,
    $Q29,
    $S29,
    NOT($F29),
    NOT($O29)
  ),
  $K29 &gt; 0
)</f>
        <v/>
      </c>
      <c r="I29" s="3">
        <f>AND(
  $AO29,
  $AD29,
  $AE29,
  $AF29,
  $AG29,
  $AH29,
  $AI29,
  $AJ29
)</f>
        <v/>
      </c>
      <c r="J29" s="3">
        <f>AND(
  $I29,
  $AK29,
  $AL29
)</f>
        <v/>
      </c>
      <c r="K29" s="3">
        <f>SUM(IF($AD29,1,0),
IF($AE29,1,0),
IF($AF29,1,0),
IF($AG29,1,0),
IF($AH29,1,0),
IF($AI29,1,0),
IF($AJ29,1,0),
IF($AK29,1,0),
IF($AL29,1,0),
IF($AM29,1,0),
IF($AN29,1,0))</f>
        <v/>
      </c>
      <c r="L29" s="3">
        <f>IF($E29, "Has Syntax", "No Syntax") &amp; " &amp; " &amp; IF($P29, "Requires Parsing", "No Parsing Neede") &amp; " &amp; " &amp; IF($W29, "Describes the thing", "Is the Thing") &amp; " &amp; " &amp; IF($R29, "Has Linear Decoding Pressure", "No Decoding Pressure") &amp; " &amp; " &amp; IF($Q29, "Resolves to AST", "No AST") &amp; ", " &amp; IF($S29, "Is Stable Ontology", "Not 'Ontology'") &amp; " AND " &amp; IF($F29, "Can Be Held", "Can't Be Held") &amp; ", " &amp;IF($O29, "Has Identity", "Has no Identity")</f>
        <v/>
      </c>
      <c r="M29" s="3">
        <f>IF(NOT($H29 = $C29),
  $B29 &amp; " " &amp; IF($H29, "Is", "Isn't") &amp; " a Family Feud Language, but " &amp; 
  IF($C29, "Is", "Is Not") &amp; " marked as a 'Language Candidate.'", "") &amp; IF($Y29, " - Open World vs. Closed World Conflict.", "")</f>
        <v/>
      </c>
      <c r="N29" s="2" t="inlineStr">
        <is>
          <t>Natural Language</t>
        </is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  <c r="W29" s="3">
        <f>$X29 &gt; 1</f>
        <v/>
      </c>
      <c r="X29" s="2" t="n">
        <v>0</v>
      </c>
      <c r="Y29" s="3">
        <f>AND($U29, $V29)</f>
        <v/>
      </c>
      <c r="Z29" s="2" t="inlineStr"/>
      <c r="AA29" s="3">
        <f>IF($X29 = 1, "IsMirrorOf", "IsDescriptionOf")</f>
        <v/>
      </c>
      <c r="AB29" s="2" t="inlineStr"/>
      <c r="AC29" s="2" t="n">
        <v>0</v>
      </c>
      <c r="AD29" s="2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  <c r="AL29" s="2" t="b">
        <v>1</v>
      </c>
      <c r="AM29" s="2" t="b">
        <v>1</v>
      </c>
      <c r="AN29" s="2" t="b">
        <v>1</v>
      </c>
      <c r="AO29" s="2" t="b">
        <v>1</v>
      </c>
      <c r="AP29" s="2" t="inlineStr">
        <is>
          <t>VocalAuditory</t>
        </is>
      </c>
    </row>
    <row r="30">
      <c r="A30" s="2" t="inlineStr">
        <is>
          <t>ant-pheromone-trail-system</t>
        </is>
      </c>
      <c r="B30" s="2" t="inlineStr">
        <is>
          <t>Ant Pheromone Trail System</t>
        </is>
      </c>
      <c r="C30" s="2" t="b">
        <v>1</v>
      </c>
      <c r="D30" s="3">
        <f>$E30 = TRUE()</f>
        <v/>
      </c>
      <c r="E30" s="2" t="b">
        <v>0</v>
      </c>
      <c r="F30" s="2" t="b">
        <v>0</v>
      </c>
      <c r="G30" s="3">
        <f>"Is " &amp; $B30 &amp; " a language?"</f>
        <v/>
      </c>
      <c r="H30" s="3">
        <f>OR(
  AND(
    $E30,
    $P30,
    $W30,
    $R30,
    $Q30,
    $S30,
    NOT($F30),
    NOT($O30)
  ),
  $K30 &gt; 0
)</f>
        <v/>
      </c>
      <c r="I30" s="3">
        <f>AND(
  $AO30,
  $AD30,
  $AE30,
  $AF30,
  $AG30,
  $AH30,
  $AI30,
  $AJ30
)</f>
        <v/>
      </c>
      <c r="J30" s="3">
        <f>AND(
  $I30,
  $AK30,
  $AL30
)</f>
        <v/>
      </c>
      <c r="K30" s="3">
        <f>SUM(IF($AD30,1,0),
IF($AE30,1,0),
IF($AF30,1,0),
IF($AG30,1,0),
IF($AH30,1,0),
IF($AI30,1,0),
IF($AJ30,1,0),
IF($AK30,1,0),
IF($AL30,1,0),
IF($AM30,1,0),
IF($AN30,1,0))</f>
        <v/>
      </c>
      <c r="L30" s="3">
        <f>IF($E30, "Has Syntax", "No Syntax") &amp; " &amp; " &amp; IF($P30, "Requires Parsing", "No Parsing Neede") &amp; " &amp; " &amp; IF($W30, "Describes the thing", "Is the Thing") &amp; " &amp; " &amp; IF($R30, "Has Linear Decoding Pressure", "No Decoding Pressure") &amp; " &amp; " &amp; IF($Q30, "Resolves to AST", "No AST") &amp; ", " &amp; IF($S30, "Is Stable Ontology", "Not 'Ontology'") &amp; " AND " &amp; IF($F30, "Can Be Held", "Can't Be Held") &amp; ", " &amp;IF($O30, "Has Identity", "Has no Identity")</f>
        <v/>
      </c>
      <c r="M30" s="3">
        <f>IF(NOT($H30 = $C30),
  $B30 &amp; " " &amp; IF($H30, "Is", "Isn't") &amp; " a Family Feud Language, but " &amp; 
  IF($C30, "Is", "Is Not") &amp; " marked as a 'Language Candidate.'", "") &amp; IF($Y30, " - Open World vs. Closed World Conflict.", "")</f>
        <v/>
      </c>
      <c r="N30" s="2" t="inlineStr">
        <is>
          <t>Natural Language</t>
        </is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0</v>
      </c>
      <c r="W30" s="3">
        <f>$X30 &gt; 1</f>
        <v/>
      </c>
      <c r="X30" s="2" t="n">
        <v>0</v>
      </c>
      <c r="Y30" s="3">
        <f>AND($U30, $V30)</f>
        <v/>
      </c>
      <c r="Z30" s="2" t="inlineStr"/>
      <c r="AA30" s="3">
        <f>IF($X30 = 1, "IsMirrorOf", "IsDescriptionOf")</f>
        <v/>
      </c>
      <c r="AB30" s="2" t="inlineStr"/>
      <c r="AC30" s="2" t="n">
        <v>0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  <c r="AJ30" s="2" t="b">
        <v>0</v>
      </c>
      <c r="AK30" s="2" t="b">
        <v>0</v>
      </c>
      <c r="AL30" s="2" t="b">
        <v>0</v>
      </c>
      <c r="AM30" s="2" t="b">
        <v>1</v>
      </c>
      <c r="AN30" s="2" t="b">
        <v>1</v>
      </c>
      <c r="AO30" s="2" t="b">
        <v>1</v>
      </c>
      <c r="AP30" s="2" t="inlineStr">
        <is>
          <t>Tactile</t>
        </is>
      </c>
    </row>
    <row r="31">
      <c r="A31" s="2" t="inlineStr">
        <is>
          <t>cuttlefish-chromatophore-displays</t>
        </is>
      </c>
      <c r="B31" s="2" t="inlineStr">
        <is>
          <t>Cuttlefish Chromatophore Displays</t>
        </is>
      </c>
      <c r="C31" s="2" t="b">
        <v>1</v>
      </c>
      <c r="D31" s="3">
        <f>$E31 = TRUE()</f>
        <v/>
      </c>
      <c r="E31" s="2" t="b">
        <v>0</v>
      </c>
      <c r="F31" s="2" t="b">
        <v>0</v>
      </c>
      <c r="G31" s="3">
        <f>"Is " &amp; $B31 &amp; " a language?"</f>
        <v/>
      </c>
      <c r="H31" s="3">
        <f>OR(
  AND(
    $E31,
    $P31,
    $W31,
    $R31,
    $Q31,
    $S31,
    NOT($F31),
    NOT($O31)
  ),
  $K31 &gt; 0
)</f>
        <v/>
      </c>
      <c r="I31" s="3">
        <f>AND(
  $AO31,
  $AD31,
  $AE31,
  $AF31,
  $AG31,
  $AH31,
  $AI31,
  $AJ31
)</f>
        <v/>
      </c>
      <c r="J31" s="3">
        <f>AND(
  $I31,
  $AK31,
  $AL31
)</f>
        <v/>
      </c>
      <c r="K31" s="3">
        <f>SUM(IF($AD31,1,0),
IF($AE31,1,0),
IF($AF31,1,0),
IF($AG31,1,0),
IF($AH31,1,0),
IF($AI31,1,0),
IF($AJ31,1,0),
IF($AK31,1,0),
IF($AL31,1,0),
IF($AM31,1,0),
IF($AN31,1,0))</f>
        <v/>
      </c>
      <c r="L31" s="3">
        <f>IF($E31, "Has Syntax", "No Syntax") &amp; " &amp; " &amp; IF($P31, "Requires Parsing", "No Parsing Neede") &amp; " &amp; " &amp; IF($W31, "Describes the thing", "Is the Thing") &amp; " &amp; " &amp; IF($R31, "Has Linear Decoding Pressure", "No Decoding Pressure") &amp; " &amp; " &amp; IF($Q31, "Resolves to AST", "No AST") &amp; ", " &amp; IF($S31, "Is Stable Ontology", "Not 'Ontology'") &amp; " AND " &amp; IF($F31, "Can Be Held", "Can't Be Held") &amp; ", " &amp;IF($O31, "Has Identity", "Has no Identity")</f>
        <v/>
      </c>
      <c r="M31" s="3">
        <f>IF(NOT($H31 = $C31),
  $B31 &amp; " " &amp; IF($H31, "Is", "Isn't") &amp; " a Family Feud Language, but " &amp; 
  IF($C31, "Is", "Is Not") &amp; " marked as a 'Language Candidate.'", "") &amp; IF($Y31, " - Open World vs. Closed World Conflict.", "")</f>
        <v/>
      </c>
      <c r="N31" s="2" t="inlineStr">
        <is>
          <t>Natural Language</t>
        </is>
      </c>
      <c r="O31" s="2" t="b">
        <v>0</v>
      </c>
      <c r="P31" s="2" t="b">
        <v>0</v>
      </c>
      <c r="Q31" s="2" t="b">
        <v>0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  <c r="W31" s="3">
        <f>$X31 &gt; 1</f>
        <v/>
      </c>
      <c r="X31" s="2" t="n">
        <v>0</v>
      </c>
      <c r="Y31" s="3">
        <f>AND($U31, $V31)</f>
        <v/>
      </c>
      <c r="Z31" s="2" t="inlineStr"/>
      <c r="AA31" s="3">
        <f>IF($X31 = 1, "IsMirrorOf", "IsDescriptionOf")</f>
        <v/>
      </c>
      <c r="AB31" s="2" t="inlineStr"/>
      <c r="AC31" s="2" t="n">
        <v>0</v>
      </c>
      <c r="AD31" s="2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  <c r="AL31" s="2" t="b">
        <v>0</v>
      </c>
      <c r="AM31" s="2" t="b">
        <v>0</v>
      </c>
      <c r="AN31" s="2" t="b">
        <v>1</v>
      </c>
      <c r="AO31" s="2" t="b">
        <v>1</v>
      </c>
      <c r="AP31" s="2" t="inlineStr">
        <is>
          <t>VisualGestural</t>
        </is>
      </c>
    </row>
    <row r="32">
      <c r="A32" s="2" t="inlineStr">
        <is>
          <t>nicaraguan-sign-language-early-cohort</t>
        </is>
      </c>
      <c r="B32" s="2" t="inlineStr">
        <is>
          <t>Nicaraguan Sign Language (early cohort)</t>
        </is>
      </c>
      <c r="C32" s="2" t="b">
        <v>1</v>
      </c>
      <c r="D32" s="3">
        <f>$E32 = TRUE()</f>
        <v/>
      </c>
      <c r="E32" s="2" t="b">
        <v>0</v>
      </c>
      <c r="F32" s="2" t="b">
        <v>0</v>
      </c>
      <c r="G32" s="3">
        <f>"Is " &amp; $B32 &amp; " a language?"</f>
        <v/>
      </c>
      <c r="H32" s="3">
        <f>OR(
  AND(
    $E32,
    $P32,
    $W32,
    $R32,
    $Q32,
    $S32,
    NOT($F32),
    NOT($O32)
  ),
  $K32 &gt; 0
)</f>
        <v/>
      </c>
      <c r="I32" s="3">
        <f>AND(
  $AO32,
  $AD32,
  $AE32,
  $AF32,
  $AG32,
  $AH32,
  $AI32,
  $AJ32
)</f>
        <v/>
      </c>
      <c r="J32" s="3">
        <f>AND(
  $I32,
  $AK32,
  $AL32
)</f>
        <v/>
      </c>
      <c r="K32" s="3">
        <f>SUM(IF($AD32,1,0),
IF($AE32,1,0),
IF($AF32,1,0),
IF($AG32,1,0),
IF($AH32,1,0),
IF($AI32,1,0),
IF($AJ32,1,0),
IF($AK32,1,0),
IF($AL32,1,0),
IF($AM32,1,0),
IF($AN32,1,0))</f>
        <v/>
      </c>
      <c r="L32" s="3">
        <f>IF($E32, "Has Syntax", "No Syntax") &amp; " &amp; " &amp; IF($P32, "Requires Parsing", "No Parsing Neede") &amp; " &amp; " &amp; IF($W32, "Describes the thing", "Is the Thing") &amp; " &amp; " &amp; IF($R32, "Has Linear Decoding Pressure", "No Decoding Pressure") &amp; " &amp; " &amp; IF($Q32, "Resolves to AST", "No AST") &amp; ", " &amp; IF($S32, "Is Stable Ontology", "Not 'Ontology'") &amp; " AND " &amp; IF($F32, "Can Be Held", "Can't Be Held") &amp; ", " &amp;IF($O32, "Has Identity", "Has no Identity")</f>
        <v/>
      </c>
      <c r="M32" s="3">
        <f>IF(NOT($H32 = $C32),
  $B32 &amp; " " &amp; IF($H32, "Is", "Isn't") &amp; " a Family Feud Language, but " &amp; 
  IF($C32, "Is", "Is Not") &amp; " marked as a 'Language Candidate.'", "") &amp; IF($Y32, " - Open World vs. Closed World Conflict.", "")</f>
        <v/>
      </c>
      <c r="N32" s="2" t="inlineStr">
        <is>
          <t>Natural Language</t>
        </is>
      </c>
      <c r="O32" s="2" t="b">
        <v>0</v>
      </c>
      <c r="P32" s="2" t="b">
        <v>0</v>
      </c>
      <c r="Q32" s="2" t="b">
        <v>0</v>
      </c>
      <c r="R32" s="2" t="b">
        <v>1</v>
      </c>
      <c r="S32" s="2" t="b">
        <v>0</v>
      </c>
      <c r="T32" s="2" t="b">
        <v>0</v>
      </c>
      <c r="U32" s="2" t="b">
        <v>0</v>
      </c>
      <c r="V32" s="2" t="b">
        <v>0</v>
      </c>
      <c r="W32" s="3">
        <f>$X32 &gt; 1</f>
        <v/>
      </c>
      <c r="X32" s="2" t="n">
        <v>0</v>
      </c>
      <c r="Y32" s="3">
        <f>AND($U32, $V32)</f>
        <v/>
      </c>
      <c r="Z32" s="2" t="inlineStr"/>
      <c r="AA32" s="3">
        <f>IF($X32 = 1, "IsMirrorOf", "IsDescriptionOf")</f>
        <v/>
      </c>
      <c r="AB32" s="2" t="inlineStr"/>
      <c r="AC32" s="2" t="n">
        <v>0</v>
      </c>
      <c r="AD32" s="2" t="b">
        <v>1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b">
        <v>1</v>
      </c>
      <c r="AM32" s="2" t="b">
        <v>1</v>
      </c>
      <c r="AN32" s="2" t="b">
        <v>1</v>
      </c>
      <c r="AO32" s="2" t="b">
        <v>1</v>
      </c>
      <c r="AP32" s="2" t="inlineStr">
        <is>
          <t>VisualGestural</t>
        </is>
      </c>
    </row>
    <row r="33">
      <c r="A33" s="2" t="inlineStr">
        <is>
          <t>homesign-single-child</t>
        </is>
      </c>
      <c r="B33" s="2" t="inlineStr">
        <is>
          <t>Homesign (single child)</t>
        </is>
      </c>
      <c r="C33" s="2" t="b">
        <v>1</v>
      </c>
      <c r="D33" s="3">
        <f>$E33 = TRUE()</f>
        <v/>
      </c>
      <c r="E33" s="2" t="b">
        <v>0</v>
      </c>
      <c r="F33" s="2" t="b">
        <v>0</v>
      </c>
      <c r="G33" s="3">
        <f>"Is " &amp; $B33 &amp; " a language?"</f>
        <v/>
      </c>
      <c r="H33" s="3">
        <f>OR(
  AND(
    $E33,
    $P33,
    $W33,
    $R33,
    $Q33,
    $S33,
    NOT($F33),
    NOT($O33)
  ),
  $K33 &gt; 0
)</f>
        <v/>
      </c>
      <c r="I33" s="3">
        <f>AND(
  $AO33,
  $AD33,
  $AE33,
  $AF33,
  $AG33,
  $AH33,
  $AI33,
  $AJ33
)</f>
        <v/>
      </c>
      <c r="J33" s="3">
        <f>AND(
  $I33,
  $AK33,
  $AL33
)</f>
        <v/>
      </c>
      <c r="K33" s="3">
        <f>SUM(IF($AD33,1,0),
IF($AE33,1,0),
IF($AF33,1,0),
IF($AG33,1,0),
IF($AH33,1,0),
IF($AI33,1,0),
IF($AJ33,1,0),
IF($AK33,1,0),
IF($AL33,1,0),
IF($AM33,1,0),
IF($AN33,1,0))</f>
        <v/>
      </c>
      <c r="L33" s="3">
        <f>IF($E33, "Has Syntax", "No Syntax") &amp; " &amp; " &amp; IF($P33, "Requires Parsing", "No Parsing Neede") &amp; " &amp; " &amp; IF($W33, "Describes the thing", "Is the Thing") &amp; " &amp; " &amp; IF($R33, "Has Linear Decoding Pressure", "No Decoding Pressure") &amp; " &amp; " &amp; IF($Q33, "Resolves to AST", "No AST") &amp; ", " &amp; IF($S33, "Is Stable Ontology", "Not 'Ontology'") &amp; " AND " &amp; IF($F33, "Can Be Held", "Can't Be Held") &amp; ", " &amp;IF($O33, "Has Identity", "Has no Identity")</f>
        <v/>
      </c>
      <c r="M33" s="3">
        <f>IF(NOT($H33 = $C33),
  $B33 &amp; " " &amp; IF($H33, "Is", "Isn't") &amp; " a Family Feud Language, but " &amp; 
  IF($C33, "Is", "Is Not") &amp; " marked as a 'Language Candidate.'", "") &amp; IF($Y33, " - Open World vs. Closed World Conflict.", "")</f>
        <v/>
      </c>
      <c r="N33" s="2" t="inlineStr">
        <is>
          <t>Natural Language</t>
        </is>
      </c>
      <c r="O33" s="2" t="b">
        <v>0</v>
      </c>
      <c r="P33" s="2" t="b">
        <v>0</v>
      </c>
      <c r="Q33" s="2" t="b">
        <v>0</v>
      </c>
      <c r="R33" s="2" t="b">
        <v>1</v>
      </c>
      <c r="S33" s="2" t="b">
        <v>0</v>
      </c>
      <c r="T33" s="2" t="b">
        <v>0</v>
      </c>
      <c r="U33" s="2" t="b">
        <v>0</v>
      </c>
      <c r="V33" s="2" t="b">
        <v>0</v>
      </c>
      <c r="W33" s="3">
        <f>$X33 &gt; 1</f>
        <v/>
      </c>
      <c r="X33" s="2" t="n">
        <v>0</v>
      </c>
      <c r="Y33" s="3">
        <f>AND($U33, $V33)</f>
        <v/>
      </c>
      <c r="Z33" s="2" t="inlineStr"/>
      <c r="AA33" s="3">
        <f>IF($X33 = 1, "IsMirrorOf", "IsDescriptionOf")</f>
        <v/>
      </c>
      <c r="AB33" s="2" t="inlineStr"/>
      <c r="AC33" s="2" t="n">
        <v>0</v>
      </c>
      <c r="AD33" s="2" t="b">
        <v>1</v>
      </c>
      <c r="AE33" s="2" t="b">
        <v>0</v>
      </c>
      <c r="AF33" s="2" t="b">
        <v>1</v>
      </c>
      <c r="AG33" s="2" t="b">
        <v>0</v>
      </c>
      <c r="AH33" s="2" t="b">
        <v>1</v>
      </c>
      <c r="AI33" s="2" t="b">
        <v>0</v>
      </c>
      <c r="AJ33" s="2" t="b">
        <v>0</v>
      </c>
      <c r="AK33" s="2" t="b">
        <v>0</v>
      </c>
      <c r="AL33" s="2" t="b">
        <v>0</v>
      </c>
      <c r="AM33" s="2" t="b">
        <v>0</v>
      </c>
      <c r="AN33" s="2" t="b">
        <v>1</v>
      </c>
      <c r="AO33" s="2" t="b">
        <v>0</v>
      </c>
      <c r="AP33" s="2" t="inlineStr"/>
    </row>
    <row r="34">
      <c r="A34" s="2" t="inlineStr">
        <is>
          <t>bonobo-lexigram-keyboard-communication</t>
        </is>
      </c>
      <c r="B34" s="2" t="inlineStr">
        <is>
          <t>Bonobo/Lexigram Keyboard Communication</t>
        </is>
      </c>
      <c r="C34" s="2" t="b">
        <v>1</v>
      </c>
      <c r="D34" s="3">
        <f>$E34 = TRUE()</f>
        <v/>
      </c>
      <c r="E34" s="2" t="b">
        <v>0</v>
      </c>
      <c r="F34" s="2" t="b">
        <v>0</v>
      </c>
      <c r="G34" s="3">
        <f>"Is " &amp; $B34 &amp; " a language?"</f>
        <v/>
      </c>
      <c r="H34" s="3">
        <f>OR(
  AND(
    $E34,
    $P34,
    $W34,
    $R34,
    $Q34,
    $S34,
    NOT($F34),
    NOT($O34)
  ),
  $K34 &gt; 0
)</f>
        <v/>
      </c>
      <c r="I34" s="3">
        <f>AND(
  $AO34,
  $AD34,
  $AE34,
  $AF34,
  $AG34,
  $AH34,
  $AI34,
  $AJ34
)</f>
        <v/>
      </c>
      <c r="J34" s="3">
        <f>AND(
  $I34,
  $AK34,
  $AL34
)</f>
        <v/>
      </c>
      <c r="K34" s="3">
        <f>SUM(IF($AD34,1,0),
IF($AE34,1,0),
IF($AF34,1,0),
IF($AG34,1,0),
IF($AH34,1,0),
IF($AI34,1,0),
IF($AJ34,1,0),
IF($AK34,1,0),
IF($AL34,1,0),
IF($AM34,1,0),
IF($AN34,1,0))</f>
        <v/>
      </c>
      <c r="L34" s="3">
        <f>IF($E34, "Has Syntax", "No Syntax") &amp; " &amp; " &amp; IF($P34, "Requires Parsing", "No Parsing Neede") &amp; " &amp; " &amp; IF($W34, "Describes the thing", "Is the Thing") &amp; " &amp; " &amp; IF($R34, "Has Linear Decoding Pressure", "No Decoding Pressure") &amp; " &amp; " &amp; IF($Q34, "Resolves to AST", "No AST") &amp; ", " &amp; IF($S34, "Is Stable Ontology", "Not 'Ontology'") &amp; " AND " &amp; IF($F34, "Can Be Held", "Can't Be Held") &amp; ", " &amp;IF($O34, "Has Identity", "Has no Identity")</f>
        <v/>
      </c>
      <c r="M34" s="3">
        <f>IF(NOT($H34 = $C34),
  $B34 &amp; " " &amp; IF($H34, "Is", "Isn't") &amp; " a Family Feud Language, but " &amp; 
  IF($C34, "Is", "Is Not") &amp; " marked as a 'Language Candidate.'", "") &amp; IF($Y34, " - Open World vs. Closed World Conflict.", "")</f>
        <v/>
      </c>
      <c r="N34" s="2" t="inlineStr">
        <is>
          <t>Natural Language</t>
        </is>
      </c>
      <c r="O34" s="2" t="b">
        <v>0</v>
      </c>
      <c r="P34" s="2" t="b">
        <v>0</v>
      </c>
      <c r="Q34" s="2" t="b">
        <v>0</v>
      </c>
      <c r="R34" s="2" t="b">
        <v>1</v>
      </c>
      <c r="S34" s="2" t="b">
        <v>0</v>
      </c>
      <c r="T34" s="2" t="b">
        <v>0</v>
      </c>
      <c r="U34" s="2" t="b">
        <v>0</v>
      </c>
      <c r="V34" s="2" t="b">
        <v>0</v>
      </c>
      <c r="W34" s="3">
        <f>$X34 &gt; 1</f>
        <v/>
      </c>
      <c r="X34" s="2" t="n">
        <v>0</v>
      </c>
      <c r="Y34" s="3">
        <f>AND($U34, $V34)</f>
        <v/>
      </c>
      <c r="Z34" s="2" t="inlineStr"/>
      <c r="AA34" s="3">
        <f>IF($X34 = 1, "IsMirrorOf", "IsDescriptionOf")</f>
        <v/>
      </c>
      <c r="AB34" s="2" t="inlineStr"/>
      <c r="AC34" s="2" t="n">
        <v>0</v>
      </c>
      <c r="AD34" s="2" t="b">
        <v>1</v>
      </c>
      <c r="AE34" s="2" t="b">
        <v>1</v>
      </c>
      <c r="AF34" s="2" t="b">
        <v>0</v>
      </c>
      <c r="AG34" s="2" t="b">
        <v>1</v>
      </c>
      <c r="AH34" s="2" t="b">
        <v>1</v>
      </c>
      <c r="AI34" s="2" t="b">
        <v>0</v>
      </c>
      <c r="AJ34" s="2" t="b">
        <v>0</v>
      </c>
      <c r="AK34" s="2" t="b">
        <v>0</v>
      </c>
      <c r="AL34" s="2" t="b">
        <v>0</v>
      </c>
      <c r="AM34" s="2" t="b">
        <v>0</v>
      </c>
      <c r="AN34" s="2" t="b">
        <v>0</v>
      </c>
      <c r="AO34" s="2" t="b">
        <v>0</v>
      </c>
      <c r="AP3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  <col width="22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IsEverythingALanguageId</t>
        </is>
      </c>
      <c r="B1" s="1" t="inlineStr">
        <is>
          <t>Name</t>
        </is>
      </c>
      <c r="C1" s="1" t="inlineStr">
        <is>
          <t>ArgumentName</t>
        </is>
      </c>
      <c r="D1" s="1" t="inlineStr">
        <is>
          <t>ArgumentCategory</t>
        </is>
      </c>
      <c r="E1" s="1" t="inlineStr">
        <is>
          <t>StepType</t>
        </is>
      </c>
      <c r="F1" s="1" t="inlineStr">
        <is>
          <t>Statement</t>
        </is>
      </c>
      <c r="G1" s="1" t="inlineStr">
        <is>
          <t>Formalization</t>
        </is>
      </c>
      <c r="H1" s="1" t="inlineStr">
        <is>
          <t>RelatedCandidateName</t>
        </is>
      </c>
      <c r="I1" s="1" t="inlineStr">
        <is>
          <t>RelatedCandidateId</t>
        </is>
      </c>
      <c r="J1" s="1" t="inlineStr">
        <is>
          <t>EvidenceFromRulebook</t>
        </is>
      </c>
      <c r="K1" s="1" t="inlineStr">
        <is>
          <t>Notes</t>
        </is>
      </c>
    </row>
    <row r="2">
      <c r="A2" s="2" t="inlineStr">
        <is>
          <t>neial-001</t>
        </is>
      </c>
      <c r="B2" s="2" t="inlineStr">
        <is>
          <t>NEIAL-001</t>
        </is>
      </c>
      <c r="C2" s="2" t="inlineStr">
        <is>
          <t>LanguageCanBeFormalized</t>
        </is>
      </c>
      <c r="D2" s="2" t="inlineStr">
        <is>
          <t>Definition</t>
        </is>
      </c>
      <c r="E2" s="2" t="inlineStr">
        <is>
          <t>Motivation</t>
        </is>
      </c>
      <c r="F2" s="2" t="inlineStr">
        <is>
          <t>To avoid the slogan 'Everything is a language', treat 'language' as a typed construct defined by testable properties (syntax, parsing, linear decoding pressure, and descriptor-role).</t>
        </is>
      </c>
      <c r="G2" s="2" t="inlineStr"/>
      <c r="H2" s="2" t="inlineStr"/>
      <c r="I2" s="2" t="inlineStr"/>
      <c r="J2" s="2" t="inlineStr"/>
      <c r="K2" s="2" t="inlineStr">
        <is>
          <t>This keeps 'can be interpreted' separate from 'is a language system'.</t>
        </is>
      </c>
    </row>
    <row r="3">
      <c r="A3" s="2" t="inlineStr">
        <is>
          <t>neial-002</t>
        </is>
      </c>
      <c r="B3" s="2" t="inlineStr">
        <is>
          <t>NEIAL-002</t>
        </is>
      </c>
      <c r="C3" s="2" t="inlineStr">
        <is>
          <t>LanguageCanBeFormalized</t>
        </is>
      </c>
      <c r="D3" s="2" t="inlineStr">
        <is>
          <t>Definition</t>
        </is>
      </c>
      <c r="E3" s="2" t="inlineStr">
        <is>
          <t>PredicateSet</t>
        </is>
      </c>
      <c r="F3" s="2" t="inlineStr">
        <is>
          <t>Use the repo predicates: HasSyntax, RequiresParsing, HasLinearDecodingPressure, StableOntologyReference (spelled IsOngologyDescriptor in the dataset), plus auxiliary checks like CanBeHeld and HasIdentity.</t>
        </is>
      </c>
      <c r="G3" s="2" t="inlineStr">
        <is>
          <t>Predicates: Syntax(x), Parse(x), SerializeMeaning(x), OntDesc(x), Tangible(x)</t>
        </is>
      </c>
      <c r="H3" s="2" t="inlineStr"/>
      <c r="I3" s="2" t="inlineStr"/>
      <c r="J3" s="2" t="inlineStr"/>
      <c r="K3" s="2" t="inlineStr">
        <is>
          <t>We preserve the dataset's field name even when misspelled to match the generated schema.</t>
        </is>
      </c>
    </row>
    <row r="4">
      <c r="A4" s="2" t="inlineStr">
        <is>
          <t>neial-003</t>
        </is>
      </c>
      <c r="B4" s="2" t="inlineStr">
        <is>
          <t>NEIAL-003</t>
        </is>
      </c>
      <c r="C4" s="2" t="inlineStr">
        <is>
          <t>LanguageCanBeFormalized</t>
        </is>
      </c>
      <c r="D4" s="2" t="inlineStr">
        <is>
          <t>Definition</t>
        </is>
      </c>
      <c r="E4" s="2" t="inlineStr">
        <is>
          <t>Definition</t>
        </is>
      </c>
      <c r="F4" s="2" t="inlineStr">
        <is>
          <t>Operational definition: an item x counts as a Language if it has syntax, requires parsing, serializes meaning, and functions as an ontology/descriptor system.</t>
        </is>
      </c>
      <c r="G4" s="2" t="inlineStr">
        <is>
          <t>Language(x) := HasSyntax(x) ∧ RequiresParsing(x) ∧ HasLinearDecodingPressure(x) ∧ StableOntologyReference(x)</t>
        </is>
      </c>
      <c r="H4" s="2" t="inlineStr"/>
      <c r="I4" s="2" t="inlineStr"/>
      <c r="J4" s="2" t="inlineStr"/>
      <c r="K4" s="2" t="inlineStr">
        <is>
          <t>This is a deliberately 'strong' definition: it matches formal languages and many natural language representations.</t>
        </is>
      </c>
    </row>
    <row r="5">
      <c r="A5" s="2" t="inlineStr">
        <is>
          <t>neial-004</t>
        </is>
      </c>
      <c r="B5" s="2" t="inlineStr">
        <is>
          <t>NEIAL-004</t>
        </is>
      </c>
      <c r="C5" s="2" t="inlineStr">
        <is>
          <t>LanguageCanBeFormalized</t>
        </is>
      </c>
      <c r="D5" s="2" t="inlineStr">
        <is>
          <t>Premise</t>
        </is>
      </c>
      <c r="E5" s="2" t="inlineStr">
        <is>
          <t>Witness</t>
        </is>
      </c>
      <c r="F5" s="2" t="inlineStr">
        <is>
          <t>There exists at least one clear witness that satisfies the operational definition: English.</t>
        </is>
      </c>
      <c r="G5" s="2" t="inlineStr">
        <is>
          <t>∃x (x=English ∧ Language(x))</t>
        </is>
      </c>
      <c r="H5" s="2" t="inlineStr">
        <is>
          <t>English</t>
        </is>
      </c>
      <c r="I5" s="2" t="inlineStr">
        <is>
          <t>english</t>
        </is>
      </c>
      <c r="J5" s="2" t="inlineStr">
        <is>
          <t>HasSyntax=True; RequiresParsing=True; HasLinearDecodingPressure=True; IsOngologyDescriptor=True; CanBeHeld=False; HasIdentity=False; DistanceFromConcept=2; Category=Natural Language</t>
        </is>
      </c>
      <c r="K5" s="2" t="inlineStr">
        <is>
          <t>If any predicate is false in your current dataset for this witness, adjust the candidate record or relax the definition.</t>
        </is>
      </c>
    </row>
    <row r="6">
      <c r="A6" s="2" t="inlineStr">
        <is>
          <t>neial-005</t>
        </is>
      </c>
      <c r="B6" s="2" t="inlineStr">
        <is>
          <t>NEIAL-005</t>
        </is>
      </c>
      <c r="C6" s="2" t="inlineStr">
        <is>
          <t>LanguageCanBeFormalized</t>
        </is>
      </c>
      <c r="D6" s="2" t="inlineStr">
        <is>
          <t>Premise</t>
        </is>
      </c>
      <c r="E6" s="2" t="inlineStr">
        <is>
          <t>Witness</t>
        </is>
      </c>
      <c r="F6" s="2" t="inlineStr">
        <is>
          <t>There exists at least one clear witness that satisfies the operational definition: Python.</t>
        </is>
      </c>
      <c r="G6" s="2" t="inlineStr">
        <is>
          <t>∃x (x=Python ∧ Language(x))</t>
        </is>
      </c>
      <c r="H6" s="2" t="inlineStr">
        <is>
          <t>Python</t>
        </is>
      </c>
      <c r="I6" s="2" t="inlineStr">
        <is>
          <t>python</t>
        </is>
      </c>
      <c r="J6" s="2" t="inlineStr">
        <is>
          <t>HasSyntax=True; RequiresParsing=True; HasLinearDecodingPressure=True; IsOngologyDescriptor=True; CanBeHeld=False; HasIdentity=False; DistanceFromConcept=2; Category=Formal Language</t>
        </is>
      </c>
      <c r="K6" s="2" t="inlineStr">
        <is>
          <t>If any predicate is false in your current dataset for this witness, adjust the candidate record or relax the definition.</t>
        </is>
      </c>
    </row>
    <row r="7">
      <c r="A7" s="2" t="inlineStr">
        <is>
          <t>neial-006</t>
        </is>
      </c>
      <c r="B7" s="2" t="inlineStr">
        <is>
          <t>NEIAL-006</t>
        </is>
      </c>
      <c r="C7" s="2" t="inlineStr">
        <is>
          <t>LanguageCanBeFormalized</t>
        </is>
      </c>
      <c r="D7" s="2" t="inlineStr">
        <is>
          <t>Conclusion</t>
        </is>
      </c>
      <c r="E7" s="2" t="inlineStr">
        <is>
          <t>Conclusion</t>
        </is>
      </c>
      <c r="F7" s="2" t="inlineStr">
        <is>
          <t>Therefore, 'language' can be formalized as a computable classification boundary over explicit predicates.</t>
        </is>
      </c>
      <c r="G7" s="2" t="inlineStr">
        <is>
          <t>(Definition ∧ Witnesses) ⇒ Formalizable(Language)</t>
        </is>
      </c>
      <c r="H7" s="2" t="inlineStr"/>
      <c r="I7" s="2" t="inlineStr"/>
      <c r="J7" s="2" t="inlineStr"/>
      <c r="K7" s="2" t="inlineStr">
        <is>
          <t>This is the concession: language is formalizable (at least operationally).</t>
        </is>
      </c>
    </row>
    <row r="8">
      <c r="A8" s="2" t="inlineStr">
        <is>
          <t>neial-007</t>
        </is>
      </c>
      <c r="B8" s="2" t="inlineStr">
        <is>
          <t>NEIAL-007</t>
        </is>
      </c>
      <c r="C8" s="2" t="inlineStr">
        <is>
          <t>NotEverythingIsALanguage</t>
        </is>
      </c>
      <c r="D8" s="2" t="inlineStr">
        <is>
          <t>Premise</t>
        </is>
      </c>
      <c r="E8" s="2" t="inlineStr">
        <is>
          <t>Entailment</t>
        </is>
      </c>
      <c r="F8" s="2" t="inlineStr">
        <is>
          <t>If Language(x) is defined by necessary conditions, then any x that fails at least one condition is not a language.</t>
        </is>
      </c>
      <c r="G8" s="2" t="inlineStr">
        <is>
          <t>∀x (¬(HasSyntax(x) ∧ RequiresParsing(x) ∧ HasLinearDecodingPressure(x) ∧ StableOntologyReference(x)) → ¬Language(x))</t>
        </is>
      </c>
      <c r="H8" s="2" t="inlineStr"/>
      <c r="I8" s="2" t="inlineStr"/>
      <c r="J8" s="2" t="inlineStr"/>
      <c r="K8" s="2" t="inlineStr">
        <is>
          <t>This is the standard move: a definition implies exclusions.</t>
        </is>
      </c>
    </row>
    <row r="9">
      <c r="A9" s="2" t="inlineStr">
        <is>
          <t>neial-008</t>
        </is>
      </c>
      <c r="B9" s="2" t="inlineStr">
        <is>
          <t>NEIAL-008</t>
        </is>
      </c>
      <c r="C9" s="2" t="inlineStr">
        <is>
          <t>NotEverythingIsALanguage</t>
        </is>
      </c>
      <c r="D9" s="2" t="inlineStr">
        <is>
          <t>Example</t>
        </is>
      </c>
      <c r="E9" s="2" t="inlineStr">
        <is>
          <t>Counterexample</t>
        </is>
      </c>
      <c r="F9" s="2" t="inlineStr">
        <is>
          <t>Counterexample: a chair can be interpreted as a sign (status, design, function), but it does not constitute a language system under the operational definition.</t>
        </is>
      </c>
      <c r="G9" s="2" t="inlineStr">
        <is>
          <t>¬Language(Chair)</t>
        </is>
      </c>
      <c r="H9" s="2" t="inlineStr">
        <is>
          <t>A Chair</t>
        </is>
      </c>
      <c r="I9" s="2" t="inlineStr"/>
      <c r="J9" s="2" t="inlineStr"/>
      <c r="K9" s="2" t="inlineStr">
        <is>
          <t>This separates semiotic availability (can signify) from linguistic structure (has syntax/parsing/serialized meaning).</t>
        </is>
      </c>
    </row>
    <row r="10">
      <c r="A10" s="2" t="inlineStr">
        <is>
          <t>neial-009</t>
        </is>
      </c>
      <c r="B10" s="2" t="inlineStr">
        <is>
          <t>NEIAL-009</t>
        </is>
      </c>
      <c r="C10" s="2" t="inlineStr">
        <is>
          <t>NotEverythingIsALanguage</t>
        </is>
      </c>
      <c r="D10" s="2" t="inlineStr">
        <is>
          <t>Example</t>
        </is>
      </c>
      <c r="E10" s="2" t="inlineStr">
        <is>
          <t>NonLanguageExample</t>
        </is>
      </c>
      <c r="F10" s="2" t="inlineStr">
        <is>
          <t>Non-language example: A Thunderstorm can be meaningful, but meaning here is not generated by an explicit syntax+parsing+serialization descriptor system.</t>
        </is>
      </c>
      <c r="G10" s="2" t="inlineStr">
        <is>
          <t>¬Language(A Thunderstorm)</t>
        </is>
      </c>
      <c r="H10" s="2" t="inlineStr">
        <is>
          <t>A Thunderstorm</t>
        </is>
      </c>
      <c r="I10" s="2" t="inlineStr">
        <is>
          <t>a-thunderstorm</t>
        </is>
      </c>
      <c r="J10" s="2" t="inlineStr">
        <is>
          <t>HasSyntax=False; RequiresParsing=True; HasLinearDecodingPressure=False; IsOngologyDescriptor=False; CanBeHeld=False; HasIdentity=True; DistanceFromConcept=1; Category=Physical event</t>
        </is>
      </c>
      <c r="K10" s="2" t="inlineStr">
        <is>
          <t>These are strong candidates for 'sign vehicles' rather than 'languages'.</t>
        </is>
      </c>
    </row>
    <row r="11">
      <c r="A11" s="2" t="inlineStr">
        <is>
          <t>neial-010</t>
        </is>
      </c>
      <c r="B11" s="2" t="inlineStr">
        <is>
          <t>NEIAL-010</t>
        </is>
      </c>
      <c r="C11" s="2" t="inlineStr">
        <is>
          <t>NotEverythingIsALanguage</t>
        </is>
      </c>
      <c r="D11" s="2" t="inlineStr">
        <is>
          <t>Example</t>
        </is>
      </c>
      <c r="E11" s="2" t="inlineStr">
        <is>
          <t>NonLanguageExample</t>
        </is>
      </c>
      <c r="F11" s="2" t="inlineStr">
        <is>
          <t>Non-language example: A Coffee Mug can be meaningful, but meaning here is not generated by an explicit syntax+parsing+serialization descriptor system.</t>
        </is>
      </c>
      <c r="G11" s="2" t="inlineStr">
        <is>
          <t>¬Language(A Coffee Mug)</t>
        </is>
      </c>
      <c r="H11" s="2" t="inlineStr">
        <is>
          <t>A Coffee Mug</t>
        </is>
      </c>
      <c r="I11" s="2" t="inlineStr">
        <is>
          <t>a-coffee-mug</t>
        </is>
      </c>
      <c r="J11" s="2" t="inlineStr">
        <is>
          <t>HasSyntax=False; RequiresParsing=False; HasLinearDecodingPressure=False; IsOngologyDescriptor=False; CanBeHeld=True; HasIdentity=True; DistanceFromConcept=1; Category=Physical Object</t>
        </is>
      </c>
      <c r="K11" s="2" t="inlineStr">
        <is>
          <t>These are strong candidates for 'sign vehicles' rather than 'languages'.</t>
        </is>
      </c>
    </row>
    <row r="12">
      <c r="A12" s="2" t="inlineStr">
        <is>
          <t>neial-011</t>
        </is>
      </c>
      <c r="B12" s="2" t="inlineStr">
        <is>
          <t>NEIAL-011</t>
        </is>
      </c>
      <c r="C12" s="2" t="inlineStr">
        <is>
          <t>NotEverythingIsALanguage</t>
        </is>
      </c>
      <c r="D12" s="2" t="inlineStr">
        <is>
          <t>Example</t>
        </is>
      </c>
      <c r="E12" s="2" t="inlineStr">
        <is>
          <t>NonLanguageExample</t>
        </is>
      </c>
      <c r="F12" s="2" t="inlineStr">
        <is>
          <t>Non-language example: The Mona Lisa can be meaningful, but meaning here is not generated by an explicit syntax+parsing+serialization descriptor system.</t>
        </is>
      </c>
      <c r="G12" s="2" t="inlineStr">
        <is>
          <t>¬Language(The Mona Lisa)</t>
        </is>
      </c>
      <c r="H12" s="2" t="inlineStr">
        <is>
          <t>The Mona Lisa</t>
        </is>
      </c>
      <c r="I12" s="2" t="inlineStr">
        <is>
          <t>the-mona-lisa</t>
        </is>
      </c>
      <c r="J12" s="2" t="inlineStr">
        <is>
          <t>HasSyntax=False; RequiresParsing=False; HasLinearDecodingPressure=False; IsOngologyDescriptor=True; CanBeHeld=True; HasIdentity=True; DistanceFromConcept=1; Category=Physical Object</t>
        </is>
      </c>
      <c r="K12" s="2" t="inlineStr">
        <is>
          <t>These are strong candidates for 'sign vehicles' rather than 'languages'.</t>
        </is>
      </c>
    </row>
    <row r="13">
      <c r="A13" s="2" t="inlineStr">
        <is>
          <t>neial-012</t>
        </is>
      </c>
      <c r="B13" s="2" t="inlineStr">
        <is>
          <t>NEIAL-012</t>
        </is>
      </c>
      <c r="C13" s="2" t="inlineStr">
        <is>
          <t>NotEverythingIsALanguage</t>
        </is>
      </c>
      <c r="D13" s="2" t="inlineStr">
        <is>
          <t>Observation</t>
        </is>
      </c>
      <c r="E13" s="2" t="inlineStr">
        <is>
          <t>FuzzyBoundary</t>
        </is>
      </c>
      <c r="F13" s="2" t="inlineStr">
        <is>
          <t>Fuzzy case: A Running App often contains embedded languages (code, UI grammars), but as an executing/interactive process it behaves like a dynamic system rather than a static serialized language artifact.</t>
        </is>
      </c>
      <c r="G13" s="2" t="inlineStr">
        <is>
          <t>Borderline(A Running App): may contain ∃y Language(y) but ¬Language(A Running App) under static-serialization criteria</t>
        </is>
      </c>
      <c r="H13" s="2" t="inlineStr">
        <is>
          <t>A Running App</t>
        </is>
      </c>
      <c r="I13" s="2" t="inlineStr"/>
      <c r="J13" s="2" t="inlineStr"/>
      <c r="K13" s="2" t="inlineStr">
        <is>
          <t>This is where traditional semiotics' 'anything is a sign' doesn’t neatly distinguish: (1) language-as-system vs (2) meaning-making interactive processes.</t>
        </is>
      </c>
    </row>
    <row r="14">
      <c r="A14" s="2" t="inlineStr">
        <is>
          <t>neial-013</t>
        </is>
      </c>
      <c r="B14" s="2" t="inlineStr">
        <is>
          <t>NEIAL-013</t>
        </is>
      </c>
      <c r="C14" s="2" t="inlineStr">
        <is>
          <t>NotEverythingIsALanguage</t>
        </is>
      </c>
      <c r="D14" s="2" t="inlineStr">
        <is>
          <t>Observation</t>
        </is>
      </c>
      <c r="E14" s="2" t="inlineStr">
        <is>
          <t>FuzzyBoundary</t>
        </is>
      </c>
      <c r="F14" s="2" t="inlineStr">
        <is>
          <t>Fuzzy case: Running Calculator App often contains embedded languages (code, UI grammars), but as an executing/interactive process it behaves like a dynamic system rather than a static serialized language artifact.</t>
        </is>
      </c>
      <c r="G14" s="2" t="inlineStr">
        <is>
          <t>Borderline(Running Calculator App): may contain ∃y Language(y) but ¬Language(Running Calculator App) under static-serialization criteria</t>
        </is>
      </c>
      <c r="H14" s="2" t="inlineStr">
        <is>
          <t>Running Calculator App</t>
        </is>
      </c>
      <c r="I14" s="2" t="inlineStr">
        <is>
          <t>running-calculator-app</t>
        </is>
      </c>
      <c r="J14" s="2" t="inlineStr">
        <is>
          <t>HasSyntax=False; RequiresParsing=True; HasLinearDecodingPressure=False; IsOngologyDescriptor=False; CanBeHeld=False; HasIdentity=True; DistanceFromConcept=1; Category=Running Software</t>
        </is>
      </c>
      <c r="K14" s="2" t="inlineStr">
        <is>
          <t>This is where traditional semiotics' 'anything is a sign' doesn’t neatly distinguish: (1) language-as-system vs (2) meaning-making interactive processes.</t>
        </is>
      </c>
    </row>
    <row r="15">
      <c r="A15" s="2" t="inlineStr">
        <is>
          <t>neial-014</t>
        </is>
      </c>
      <c r="B15" s="2" t="inlineStr">
        <is>
          <t>NEIAL-014</t>
        </is>
      </c>
      <c r="C15" s="2" t="inlineStr">
        <is>
          <t>NotEverythingIsALanguage</t>
        </is>
      </c>
      <c r="D15" s="2" t="inlineStr">
        <is>
          <t>Observation</t>
        </is>
      </c>
      <c r="E15" s="2" t="inlineStr">
        <is>
          <t>FuzzyBoundary</t>
        </is>
      </c>
      <c r="F15" s="2" t="inlineStr">
        <is>
          <t>Fuzzy case: A Game of Fortnite often contains embedded languages (code, UI grammars), but as an executing/interactive process it behaves like a dynamic system rather than a static serialized language artifact.</t>
        </is>
      </c>
      <c r="G15" s="2" t="inlineStr">
        <is>
          <t>Borderline(A Game of Fortnite): may contain ∃y Language(y) but ¬Language(A Game of Fortnite) under static-serialization criteria</t>
        </is>
      </c>
      <c r="H15" s="2" t="inlineStr">
        <is>
          <t>A Game of Fortnite</t>
        </is>
      </c>
      <c r="I15" s="2" t="inlineStr">
        <is>
          <t>a-game-of-fortnite</t>
        </is>
      </c>
      <c r="J15" s="2" t="inlineStr">
        <is>
          <t>HasSyntax=False; RequiresParsing=True; HasLinearDecodingPressure=False; IsOngologyDescriptor=False; CanBeHeld=False; HasIdentity=True; DistanceFromConcept=1; Category=Running Software</t>
        </is>
      </c>
      <c r="K15" s="2" t="inlineStr">
        <is>
          <t>This is where traditional semiotics' 'anything is a sign' doesn’t neatly distinguish: (1) language-as-system vs (2) meaning-making interactive processes.</t>
        </is>
      </c>
    </row>
    <row r="16">
      <c r="A16" s="2" t="inlineStr">
        <is>
          <t>neial-015</t>
        </is>
      </c>
      <c r="B16" s="2" t="inlineStr">
        <is>
          <t>NEIAL-015</t>
        </is>
      </c>
      <c r="C16" s="2" t="inlineStr">
        <is>
          <t>NotEverythingIsALanguage</t>
        </is>
      </c>
      <c r="D16" s="2" t="inlineStr">
        <is>
          <t>Definition</t>
        </is>
      </c>
      <c r="E16" s="2" t="inlineStr">
        <is>
          <t>Refinement</t>
        </is>
      </c>
      <c r="F16" s="2" t="inlineStr">
        <is>
          <t>Refinement: distinguish LanguageSystem (syntax/parsing/serialization descriptor) from SemioticProcess (interactive/dynamic meaning production) and from SignVehicle (object/phenomenon used as a sign).</t>
        </is>
      </c>
      <c r="G16" s="2" t="inlineStr">
        <is>
          <t>Kinds: LanguageSystem(x) | SemioticProcess(x) | SignVehicle(x)</t>
        </is>
      </c>
      <c r="H16" s="2" t="inlineStr"/>
      <c r="I16" s="2" t="inlineStr"/>
      <c r="J16" s="2" t="inlineStr"/>
      <c r="K16" s="2" t="inlineStr">
        <is>
          <t>This gives you a place to put running apps and games without forcing 'language' to swallow everything.</t>
        </is>
      </c>
    </row>
    <row r="17">
      <c r="A17" s="2" t="inlineStr">
        <is>
          <t>neial-016</t>
        </is>
      </c>
      <c r="B17" s="2" t="inlineStr">
        <is>
          <t>NEIAL-016</t>
        </is>
      </c>
      <c r="C17" s="2" t="inlineStr">
        <is>
          <t>NotEverythingIsALanguage</t>
        </is>
      </c>
      <c r="D17" s="2" t="inlineStr">
        <is>
          <t>Conclusion</t>
        </is>
      </c>
      <c r="E17" s="2" t="inlineStr">
        <is>
          <t>Conclusion</t>
        </is>
      </c>
      <c r="F17" s="2" t="inlineStr">
        <is>
          <t>Given a formalizable definition of language, not everything is a language; some things are better treated as sign vehicles or semiotic processes, with running applications as a key fuzzy region that benefits from explicit modeling.</t>
        </is>
      </c>
      <c r="G17" s="2" t="inlineStr">
        <is>
          <t>Formalizable(Language) ∧ ∃x ¬Language(x) ⇒ ¬(EverythingIsALanguage)</t>
        </is>
      </c>
      <c r="H17" s="2" t="inlineStr"/>
      <c r="I17" s="2" t="inlineStr"/>
      <c r="J17" s="2" t="inlineStr"/>
      <c r="K17" s="2" t="inlineStr">
        <is>
          <t>This is the repo's thesis in one 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ERBCustomizationId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SQLCode</t>
        </is>
      </c>
      <c r="E1" s="1" t="inlineStr">
        <is>
          <t>SQLTarget</t>
        </is>
      </c>
      <c r="F1" s="1" t="inlineStr">
        <is>
          <t>CustomizationType</t>
        </is>
      </c>
    </row>
    <row r="2">
      <c r="A2" s="2" t="inlineStr">
        <is>
          <t>01b-customize-schema-sql</t>
        </is>
      </c>
      <c r="B2" s="2" t="inlineStr">
        <is>
          <t>01b-customize-schema.sql</t>
        </is>
      </c>
      <c r="C2" s="2" t="inlineStr">
        <is>
          <t>Customize Schema</t>
        </is>
      </c>
      <c r="D2" s="2" t="inlineStr">
        <is>
          <t xml:space="preserve">-- ============================================================================
-- CUSTOMIZE SCHEMA - User-defined tables and schema modifications
-- ============================================================================
-- This file is for YOUR custom schema changes that should persist across
-- regeneration of the base ERB files.
--
-- USE THIS FILE FOR:
--   - Additional tables not defined in the rulebook
--   - Extra columns on existing tables (ALTER TABLE)
--   - Custom indexes for performance tuning
--   - Custom constraints or triggers
--
-- IMPORTANT:
--   - This file runs AFTER 01-drop-and-create-tables.sql
--   - The base tables already exist when this runs
--   - This file will NOT be overwritten by ERB regeneration
--
-- ============================================================================
-- Your custom schema changes go here:
</t>
        </is>
      </c>
      <c r="E2" s="2" t="inlineStr">
        <is>
          <t>Postgres</t>
        </is>
      </c>
      <c r="F2" s="2" t="inlineStr">
        <is>
          <t>Schema</t>
        </is>
      </c>
    </row>
    <row r="3">
      <c r="A3" s="2" t="inlineStr">
        <is>
          <t>02b-customize-functions-sql</t>
        </is>
      </c>
      <c r="B3" s="2" t="inlineStr">
        <is>
          <t>02b-customize-functions.sql</t>
        </is>
      </c>
      <c r="C3" s="2" t="inlineStr">
        <is>
          <t>Customize Functions</t>
        </is>
      </c>
      <c r="D3" s="2" t="inlineStr">
        <is>
          <t xml:space="preserve">-- Prediction Fail: Returns TRUE when predicted_answer doesn't match is_language
DROP FUNCTION calc_language_candidates_question;
CREATE OR REPLACE FUNCTION public.calc_language_candidates_question(p_language_candidate_id text)
 RETURNS text
 LANGUAGE plpgsql
 STABLE SECURITY DEFINER
AS $function$
BEGIN
  RETURN ('Is ' || (SELECT NULLIF(name, '''') FROM language_candidates WHERE language_candidate_id = p_language_candidate_id) || ' a language?')::text;
END;
$function$;
CREATE OR REPLACE FUNCTION public.calc_language_candidates_bio_hockett_score(p_language_candidate_id text)
 RETURNS integer
 LANGUAGE plpgsql
 STABLE SECURITY DEFINER
AS $function$
DECLARE
    candidate_record RECORD;
BEGIN
    -- Select the required attributes for the given language candidate ID
    SELECT bio_has_semanticity, bio_has_arbitrariness, bio_has_discreteness, 
           bio_has_duality_of_patterning, bio_has_productivity, 
           bio_has_displacement, bio_has_cultural_transmission, 
           bio_has_interchangeability, bio_has_feedback, 
           bio_has_broadcast_transmission, bio_has_rapid_fading
    INTO candidate_record
    FROM language_candidates
    WHERE language_candidate_id = p_language_candidate_id;
    -- Calculate and return the Hockett score by summing up the boolean attributes
    RETURN 
        COALESCE(candidate_record.bio_has_semanticity, FALSE)::int +
        COALESCE(candidate_record.bio_has_arbitrariness, FALSE)::int +
        COALESCE(candidate_record.bio_has_discreteness, FALSE)::int +
        COALESCE(candidate_record.bio_has_duality_of_patterning, FALSE)::int +
        COALESCE(candidate_record.bio_has_productivity, FALSE)::int +
        COALESCE(candidate_record.bio_has_displacement, FALSE)::int +
        COALESCE(candidate_record.bio_has_cultural_transmission, FALSE)::int +
        COALESCE(candidate_record.bio_has_interchangeability, FALSE)::int +
        COALESCE(candidate_record.bio_has_feedback, FALSE)::int +
        COALESCE(candidate_record.bio_has_broadcast_transmission, FALSE)::int +
        COALESCE(candidate_record.bio_has_rapid_fading, FALSE)::int;
END;
$function$;
</t>
        </is>
      </c>
      <c r="E3" s="2" t="inlineStr">
        <is>
          <t>Postgres</t>
        </is>
      </c>
      <c r="F3" s="2" t="inlineStr">
        <is>
          <t>Functions</t>
        </is>
      </c>
    </row>
    <row r="4">
      <c r="A4" s="2" t="inlineStr">
        <is>
          <t>03b-customize-views-sql</t>
        </is>
      </c>
      <c r="B4" s="2" t="inlineStr">
        <is>
          <t>03b-customize-views.sql</t>
        </is>
      </c>
      <c r="C4" s="2" t="inlineStr">
        <is>
          <t>Customize Views</t>
        </is>
      </c>
      <c r="D4" s="2" t="inlineStr">
        <is>
          <t xml:space="preserve">-- ============================================================================
-- CUSTOMIZE VIEWS - User-defined views and view extensions
-- ============================================================================
-- This file is for YOUR custom views that should persist across
-- regeneration of the base ERB files.
--
-- IMPORTANT:
--   - This file runs AFTER 03-create-views.sql
--   - All base vw_* views already exist when this runs
--   - This file will NOT be overwritten by ERB regeneration
--
-- ============================================================================
-- Your custom views go here:
</t>
        </is>
      </c>
      <c r="E4" s="2" t="inlineStr">
        <is>
          <t>Postgres</t>
        </is>
      </c>
      <c r="F4" s="2" t="inlineStr">
        <is>
          <t>Views</t>
        </is>
      </c>
    </row>
    <row r="5">
      <c r="A5" s="2" t="inlineStr">
        <is>
          <t>04b-customize-rls-sql</t>
        </is>
      </c>
      <c r="B5" s="2" t="inlineStr">
        <is>
          <t>04b-customize-rls.sql</t>
        </is>
      </c>
      <c r="C5" s="2" t="inlineStr">
        <is>
          <t>Customize Policies (RLS)</t>
        </is>
      </c>
      <c r="D5" s="2" t="inlineStr">
        <is>
          <t xml:space="preserve">-- ============================================================================
-- CUSTOMIZE POLICIES - User-defined Row Level Security policies
-- ============================================================================
-- This file is for YOUR custom RLS policies that should persist across
-- regeneration of the base ERB files.
--
-- IMPORTANT:
--   - This file runs AFTER 04-create-policies.sql
--   - Base RLS policies already exist when this runs
--   - This file will NOT be overwritten by ERB regeneration
--
-- ============================================================================
-- Your custom policies go here:
</t>
        </is>
      </c>
      <c r="E5" s="2" t="inlineStr">
        <is>
          <t>Postgres</t>
        </is>
      </c>
      <c r="F5" s="2" t="inlineStr">
        <is>
          <t>RLS</t>
        </is>
      </c>
    </row>
    <row r="6">
      <c r="A6" s="2" t="inlineStr">
        <is>
          <t>05b-customize-data-sql</t>
        </is>
      </c>
      <c r="B6" s="2" t="inlineStr">
        <is>
          <t>05b-customize-data.sql</t>
        </is>
      </c>
      <c r="C6" s="2" t="inlineStr">
        <is>
          <t>Customize Data (Seeds / Migrations)</t>
        </is>
      </c>
      <c r="D6" s="2" t="inlineStr">
        <is>
          <t xml:space="preserve">-- ============================================================================
-- CUSTOMIZE DATA - User-defined seed data and data migrations
-- ============================================================================
-- This file is for YOUR custom seed data that should persist across
-- regeneration of the base ERB files.
--
-- IMPORTANT:
--   - This file runs AFTER 05-insert-data.sql
--   - Base seed data already exists when this runs
--   - This file will NOT be overwritten by ERB regeneration
--
-- ============================================================================
-- Your custom data inserts go here:
</t>
        </is>
      </c>
      <c r="E6" s="2" t="inlineStr">
        <is>
          <t>Postgres</t>
        </is>
      </c>
      <c r="F6" s="2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2026-03-03T10:49:29Z</dcterms:created>
  <dcterms:modified xsi:type="dcterms:W3CDTF">2026-03-03T10:49:29Z</dcterms:modified>
</cp:coreProperties>
</file>