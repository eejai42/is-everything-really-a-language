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guageCandidates" sheetId="1" state="visible" r:id="rId1"/>
    <sheet name="IsEverythingALangua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20" customWidth="1" min="4" max="4"/>
    <col width="21" customWidth="1" min="5" max="5"/>
    <col width="25" customWidth="1" min="6" max="6"/>
    <col width="20" customWidth="1" min="7" max="7"/>
    <col width="12" customWidth="1" min="8" max="8"/>
    <col width="13" customWidth="1" min="9" max="9"/>
    <col width="12" customWidth="1" min="10" max="10"/>
    <col width="12" customWidth="1" min="11" max="11"/>
    <col width="17" customWidth="1" min="12" max="12"/>
    <col width="17" customWidth="1" min="13" max="13"/>
    <col width="27" customWidth="1" min="14" max="14"/>
    <col width="27" customWidth="1" min="15" max="15"/>
    <col width="22" customWidth="1" min="16" max="16"/>
    <col width="13" customWidth="1" min="17" max="17"/>
    <col width="15" customWidth="1" min="18" max="18"/>
    <col width="17" customWidth="1" min="19" max="19"/>
    <col width="21" customWidth="1" min="20" max="20"/>
    <col width="29" customWidth="1" min="21" max="21"/>
    <col width="28" customWidth="1" min="22" max="22"/>
    <col width="23" customWidth="1" min="23" max="23"/>
    <col width="26" customWidth="1" min="24" max="24"/>
    <col width="12" customWidth="1" min="25" max="25"/>
  </cols>
  <sheetData>
    <row r="1">
      <c r="A1" s="1" t="inlineStr">
        <is>
          <t>LanguageCandidateId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FamilyFuedQuestion</t>
        </is>
      </c>
      <c r="E1" s="1" t="inlineStr">
        <is>
          <t>TopFamilyFeudAnswer</t>
        </is>
      </c>
      <c r="F1" s="1" t="inlineStr">
        <is>
          <t>ChosenLanguageCandidate</t>
        </is>
      </c>
      <c r="G1" s="1" t="inlineStr">
        <is>
          <t>FamilyFeudMismatch</t>
        </is>
      </c>
      <c r="H1" s="1" t="inlineStr">
        <is>
          <t>HasSyntax</t>
        </is>
      </c>
      <c r="I1" s="1" t="inlineStr">
        <is>
          <t>HasIdentity</t>
        </is>
      </c>
      <c r="J1" s="1" t="inlineStr">
        <is>
          <t>CanBeHeld</t>
        </is>
      </c>
      <c r="K1" s="1" t="inlineStr">
        <is>
          <t>HasGrammar</t>
        </is>
      </c>
      <c r="L1" s="1" t="inlineStr">
        <is>
          <t>RequiresParsing</t>
        </is>
      </c>
      <c r="M1" s="1" t="inlineStr">
        <is>
          <t>ResolvesToAnAST</t>
        </is>
      </c>
      <c r="N1" s="1" t="inlineStr">
        <is>
          <t>HasLinearDecodingPressure</t>
        </is>
      </c>
      <c r="O1" s="1" t="inlineStr">
        <is>
          <t>IsStableOntologyReference</t>
        </is>
      </c>
      <c r="P1" s="1" t="inlineStr">
        <is>
          <t>IsLiveOntologyEditor</t>
        </is>
      </c>
      <c r="Q1" s="1" t="inlineStr">
        <is>
          <t>IsOpenWorld</t>
        </is>
      </c>
      <c r="R1" s="1" t="inlineStr">
        <is>
          <t>IsClosedWorld</t>
        </is>
      </c>
      <c r="S1" s="1" t="inlineStr">
        <is>
          <t>IsDescriptionOf</t>
        </is>
      </c>
      <c r="T1" s="1" t="inlineStr">
        <is>
          <t>DistanceFromConcept</t>
        </is>
      </c>
      <c r="U1" s="1" t="inlineStr">
        <is>
          <t>IsOpenClosedWorldConflicted</t>
        </is>
      </c>
      <c r="V1" s="1" t="inlineStr">
        <is>
          <t>DimensionalityWhileEditing</t>
        </is>
      </c>
      <c r="W1" s="1" t="inlineStr">
        <is>
          <t>RelationshipToConcept</t>
        </is>
      </c>
      <c r="X1" s="1" t="inlineStr">
        <is>
          <t>ModelObjectFacilityLayer</t>
        </is>
      </c>
      <c r="Y1" s="1" t="inlineStr">
        <is>
          <t>SortOrder</t>
        </is>
      </c>
    </row>
    <row r="2">
      <c r="A2" s="2" t="inlineStr">
        <is>
          <t>falsifier-a</t>
        </is>
      </c>
      <c r="B2" s="2" t="inlineStr">
        <is>
          <t>Falsifier A</t>
        </is>
      </c>
      <c r="C2" s="2" t="inlineStr">
        <is>
          <t>MISSING: Have you seen this Language?</t>
        </is>
      </c>
      <c r="D2" s="3">
        <f>"Is " &amp; $B2 &amp; " a language?"</f>
        <v/>
      </c>
      <c r="E2" s="3">
        <f>AND(
  $H2,
  $L2,
  $S2,
  $N2,
  $M2,
  $O2,
  NOT($J2),
  NOT($I2)
)</f>
        <v/>
      </c>
      <c r="F2" s="2" t="b">
        <v>0</v>
      </c>
      <c r="G2" s="3">
        <f>IF(NOT($E2 = $F2),
  $B2 &amp; " " &amp; IF($E2, "Is", "Isn't") &amp; " a Family Feud Language, but " &amp; 
  IF($F2, "Is", "Is Not") &amp; " marked as a 'Language Candidate.'") &amp; IF($U2, " - Open World vs. Closed World Conflict.")</f>
        <v/>
      </c>
      <c r="H2" s="2" t="b">
        <v>1</v>
      </c>
      <c r="I2" s="2" t="b">
        <v>0</v>
      </c>
      <c r="J2" s="2" t="b">
        <v>0</v>
      </c>
      <c r="K2" s="3">
        <f>$H2 = TRUE()</f>
        <v/>
      </c>
      <c r="L2" s="2" t="b">
        <v>1</v>
      </c>
      <c r="M2" s="2" t="b">
        <v>1</v>
      </c>
      <c r="N2" s="2" t="b">
        <v>1</v>
      </c>
      <c r="O2" s="2" t="b">
        <v>1</v>
      </c>
      <c r="P2" s="2" t="b">
        <v>0</v>
      </c>
      <c r="Q2" s="2" t="b">
        <v>0</v>
      </c>
      <c r="R2" s="2" t="b">
        <v>0</v>
      </c>
      <c r="S2" s="3">
        <f>$T2 &gt; 1</f>
        <v/>
      </c>
      <c r="T2" s="2" t="n">
        <v>2</v>
      </c>
      <c r="U2" s="3">
        <f>AND($Q2, $R2)</f>
        <v/>
      </c>
      <c r="V2" s="2" t="inlineStr">
        <is>
          <t>N/A</t>
        </is>
      </c>
      <c r="W2" s="3">
        <f>IF($T2 = 1, "IsMirrorOf", "IsDescriptionOf")</f>
        <v/>
      </c>
      <c r="X2" s="2" t="inlineStr">
        <is>
          <t>M1</t>
        </is>
      </c>
      <c r="Y2" s="2" t="n">
        <v>0</v>
      </c>
    </row>
    <row r="3">
      <c r="A3" s="2" t="inlineStr">
        <is>
          <t>falsifier-b</t>
        </is>
      </c>
      <c r="B3" s="2" t="inlineStr">
        <is>
          <t>Falsifier B</t>
        </is>
      </c>
      <c r="C3" s="2" t="inlineStr">
        <is>
          <t>MISSING: Have you seen this Language?</t>
        </is>
      </c>
      <c r="D3" s="3">
        <f>"Is " &amp; $B3 &amp; " a language?"</f>
        <v/>
      </c>
      <c r="E3" s="3">
        <f>AND(
  $H3,
  $L3,
  $S3,
  $N3,
  $M3,
  $O3,
  NOT($J3),
  NOT($I3)
)</f>
        <v/>
      </c>
      <c r="F3" s="2" t="b">
        <v>1</v>
      </c>
      <c r="G3" s="3">
        <f>IF(NOT($E3 = $F3),
  $B3 &amp; " " &amp; IF($E3, "Is", "Isn't") &amp; " a Family Feud Language, but " &amp; 
  IF($F3, "Is", "Is Not") &amp; " marked as a 'Language Candidate.'") &amp; IF($U3, " - Open World vs. Closed World Conflict.")</f>
        <v/>
      </c>
      <c r="H3" s="2" t="b">
        <v>0</v>
      </c>
      <c r="I3" s="2" t="b">
        <v>1</v>
      </c>
      <c r="J3" s="2" t="b">
        <v>1</v>
      </c>
      <c r="K3" s="3">
        <f>$H3 = TRUE()</f>
        <v/>
      </c>
      <c r="L3" s="2" t="b">
        <v>1</v>
      </c>
      <c r="M3" s="2" t="b">
        <v>1</v>
      </c>
      <c r="N3" s="2" t="b">
        <v>0</v>
      </c>
      <c r="O3" s="2" t="b">
        <v>1</v>
      </c>
      <c r="P3" s="2" t="b">
        <v>0</v>
      </c>
      <c r="Q3" s="2" t="b">
        <v>0</v>
      </c>
      <c r="R3" s="2" t="b">
        <v>0</v>
      </c>
      <c r="S3" s="3">
        <f>$T3 &gt; 1</f>
        <v/>
      </c>
      <c r="T3" s="2" t="n">
        <v>1</v>
      </c>
      <c r="U3" s="3">
        <f>AND($Q3, $R3)</f>
        <v/>
      </c>
      <c r="V3" s="2" t="inlineStr">
        <is>
          <t>N/A</t>
        </is>
      </c>
      <c r="W3" s="3">
        <f>IF($T3 = 1, "IsMirrorOf", "IsDescriptionOf")</f>
        <v/>
      </c>
      <c r="X3" s="2" t="inlineStr">
        <is>
          <t>NA</t>
        </is>
      </c>
      <c r="Y3" s="2" t="n">
        <v>1</v>
      </c>
    </row>
    <row r="4">
      <c r="A4" s="2" t="inlineStr">
        <is>
          <t>falsifier-c</t>
        </is>
      </c>
      <c r="B4" s="2" t="inlineStr">
        <is>
          <t>Falsifier C</t>
        </is>
      </c>
      <c r="C4" s="2" t="inlineStr">
        <is>
          <t>MISSING: Have you seen this Language?</t>
        </is>
      </c>
      <c r="D4" s="3">
        <f>"Is " &amp; $B4 &amp; " a language?"</f>
        <v/>
      </c>
      <c r="E4" s="3">
        <f>AND(
  $H4,
  $L4,
  $S4,
  $N4,
  $M4,
  $O4,
  NOT($J4),
  NOT($I4)
)</f>
        <v/>
      </c>
      <c r="F4" s="2" t="b">
        <v>1</v>
      </c>
      <c r="G4" s="3">
        <f>IF(NOT($E4 = $F4),
  $B4 &amp; " " &amp; IF($E4, "Is", "Isn't") &amp; " a Family Feud Language, but " &amp; 
  IF($F4, "Is", "Is Not") &amp; " marked as a 'Language Candidate.'") &amp; IF($U4, " - Open World vs. Closed World Conflict.")</f>
        <v/>
      </c>
      <c r="H4" s="2" t="b">
        <v>1</v>
      </c>
      <c r="I4" s="2" t="b">
        <v>0</v>
      </c>
      <c r="J4" s="2" t="b">
        <v>0</v>
      </c>
      <c r="K4" s="3">
        <f>$H4 = TRUE()</f>
        <v/>
      </c>
      <c r="L4" s="2" t="b">
        <v>1</v>
      </c>
      <c r="M4" s="2" t="b">
        <v>1</v>
      </c>
      <c r="N4" s="2" t="b">
        <v>1</v>
      </c>
      <c r="O4" s="2" t="b">
        <v>1</v>
      </c>
      <c r="P4" s="2" t="b">
        <v>0</v>
      </c>
      <c r="Q4" s="2" t="b">
        <v>1</v>
      </c>
      <c r="R4" s="2" t="b">
        <v>1</v>
      </c>
      <c r="S4" s="3">
        <f>$T4 &gt; 1</f>
        <v/>
      </c>
      <c r="T4" s="2" t="n">
        <v>2</v>
      </c>
      <c r="U4" s="3">
        <f>AND($Q4, $R4)</f>
        <v/>
      </c>
      <c r="V4" s="2" t="inlineStr">
        <is>
          <t>OneDimensionalSymbolic</t>
        </is>
      </c>
      <c r="W4" s="3">
        <f>IF($T4 = 1, "IsMirrorOf", "IsDescriptionOf")</f>
        <v/>
      </c>
      <c r="X4" s="2" t="inlineStr">
        <is>
          <t>M1</t>
        </is>
      </c>
      <c r="Y4" s="2" t="n">
        <v>2</v>
      </c>
    </row>
    <row r="5">
      <c r="A5" s="2" t="inlineStr">
        <is>
          <t>english</t>
        </is>
      </c>
      <c r="B5" s="2" t="inlineStr">
        <is>
          <t>English</t>
        </is>
      </c>
      <c r="C5" s="2" t="inlineStr">
        <is>
          <t>Natural Language</t>
        </is>
      </c>
      <c r="D5" s="3">
        <f>"Is " &amp; $B5 &amp; " a language?"</f>
        <v/>
      </c>
      <c r="E5" s="3">
        <f>AND(
  $H5,
  $L5,
  $S5,
  $N5,
  $M5,
  $O5,
  NOT($J5),
  NOT($I5)
)</f>
        <v/>
      </c>
      <c r="F5" s="2" t="b">
        <v>1</v>
      </c>
      <c r="G5" s="3">
        <f>IF(NOT($E5 = $F5),
  $B5 &amp; " " &amp; IF($E5, "Is", "Isn't") &amp; " a Family Feud Language, but " &amp; 
  IF($F5, "Is", "Is Not") &amp; " marked as a 'Language Candidate.'") &amp; IF($U5, " - Open World vs. Closed World Conflict.")</f>
        <v/>
      </c>
      <c r="H5" s="2" t="b">
        <v>1</v>
      </c>
      <c r="I5" s="2" t="b">
        <v>0</v>
      </c>
      <c r="J5" s="2" t="b">
        <v>0</v>
      </c>
      <c r="K5" s="3">
        <f>$H5 = TRUE()</f>
        <v/>
      </c>
      <c r="L5" s="2" t="b">
        <v>1</v>
      </c>
      <c r="M5" s="2" t="b">
        <v>1</v>
      </c>
      <c r="N5" s="2" t="b">
        <v>1</v>
      </c>
      <c r="O5" s="2" t="b">
        <v>1</v>
      </c>
      <c r="P5" s="2" t="b">
        <v>0</v>
      </c>
      <c r="Q5" s="2" t="b">
        <v>1</v>
      </c>
      <c r="R5" s="2" t="b">
        <v>0</v>
      </c>
      <c r="S5" s="3">
        <f>$T5 &gt; 1</f>
        <v/>
      </c>
      <c r="T5" s="2" t="n">
        <v>2</v>
      </c>
      <c r="U5" s="3">
        <f>AND($Q5, $R5)</f>
        <v/>
      </c>
      <c r="V5" s="2" t="inlineStr">
        <is>
          <t>OneDimensionalSymbolic</t>
        </is>
      </c>
      <c r="W5" s="3">
        <f>IF($T5 = 1, "IsMirrorOf", "IsDescriptionOf")</f>
        <v/>
      </c>
      <c r="X5" s="2" t="inlineStr">
        <is>
          <t>M1</t>
        </is>
      </c>
      <c r="Y5" s="2" t="n">
        <v>3</v>
      </c>
    </row>
    <row r="6">
      <c r="A6" s="2" t="inlineStr">
        <is>
          <t>airtable-editing</t>
        </is>
      </c>
      <c r="B6" s="2" t="inlineStr">
        <is>
          <t>Airtable - Editing</t>
        </is>
      </c>
      <c r="C6" s="2" t="inlineStr">
        <is>
          <t>Running Software</t>
        </is>
      </c>
      <c r="D6" s="3">
        <f>"Is " &amp; $B6 &amp; " a language?"</f>
        <v/>
      </c>
      <c r="E6" s="3">
        <f>AND(
  $H6,
  $L6,
  $S6,
  $N6,
  $M6,
  $O6,
  NOT($J6),
  NOT($I6)
)</f>
        <v/>
      </c>
      <c r="F6" s="2" t="b">
        <v>0</v>
      </c>
      <c r="G6" s="3">
        <f>IF(NOT($E6 = $F6),
  $B6 &amp; " " &amp; IF($E6, "Is", "Isn't") &amp; " a Family Feud Language, but " &amp; 
  IF($F6, "Is", "Is Not") &amp; " marked as a 'Language Candidate.'") &amp; IF($U6, " - Open World vs. Closed World Conflict.")</f>
        <v/>
      </c>
      <c r="H6" s="2" t="b">
        <v>0</v>
      </c>
      <c r="I6" s="2" t="b">
        <v>1</v>
      </c>
      <c r="J6" s="2" t="b">
        <v>0</v>
      </c>
      <c r="K6" s="3">
        <f>$H6 = TRUE()</f>
        <v/>
      </c>
      <c r="L6" s="2" t="b">
        <v>0</v>
      </c>
      <c r="M6" s="2" t="b">
        <v>1</v>
      </c>
      <c r="N6" s="2" t="b">
        <v>0</v>
      </c>
      <c r="O6" s="2" t="b">
        <v>1</v>
      </c>
      <c r="P6" s="2" t="b">
        <v>1</v>
      </c>
      <c r="Q6" s="2" t="b">
        <v>0</v>
      </c>
      <c r="R6" s="2" t="b">
        <v>1</v>
      </c>
      <c r="S6" s="3">
        <f>$T6 &gt; 1</f>
        <v/>
      </c>
      <c r="T6" s="2" t="n">
        <v>2</v>
      </c>
      <c r="U6" s="3">
        <f>AND($Q6, $R6)</f>
        <v/>
      </c>
      <c r="V6" s="2" t="inlineStr">
        <is>
          <t>MultiDimensionalNonSymbolic</t>
        </is>
      </c>
      <c r="W6" s="3">
        <f>IF($T6 = 1, "IsMirrorOf", "IsDescriptionOf")</f>
        <v/>
      </c>
      <c r="X6" s="2" t="inlineStr">
        <is>
          <t>M4</t>
        </is>
      </c>
      <c r="Y6" s="2" t="n">
        <v>3</v>
      </c>
    </row>
    <row r="7">
      <c r="A7" s="2" t="inlineStr">
        <is>
          <t>spoken-words</t>
        </is>
      </c>
      <c r="B7" s="2" t="inlineStr">
        <is>
          <t>Spoken Words</t>
        </is>
      </c>
      <c r="C7" s="2" t="inlineStr">
        <is>
          <t>Natural Language</t>
        </is>
      </c>
      <c r="D7" s="3">
        <f>"Is " &amp; $B7 &amp; " a language?"</f>
        <v/>
      </c>
      <c r="E7" s="3">
        <f>AND(
  $H7,
  $L7,
  $S7,
  $N7,
  $M7,
  $O7,
  NOT($J7),
  NOT($I7)
)</f>
        <v/>
      </c>
      <c r="F7" s="2" t="b">
        <v>1</v>
      </c>
      <c r="G7" s="3">
        <f>IF(NOT($E7 = $F7),
  $B7 &amp; " " &amp; IF($E7, "Is", "Isn't") &amp; " a Family Feud Language, but " &amp; 
  IF($F7, "Is", "Is Not") &amp; " marked as a 'Language Candidate.'") &amp; IF($U7, " - Open World vs. Closed World Conflict.")</f>
        <v/>
      </c>
      <c r="H7" s="2" t="b">
        <v>1</v>
      </c>
      <c r="I7" s="2" t="b">
        <v>0</v>
      </c>
      <c r="J7" s="2" t="b">
        <v>0</v>
      </c>
      <c r="K7" s="3">
        <f>$H7 = TRUE()</f>
        <v/>
      </c>
      <c r="L7" s="2" t="b">
        <v>1</v>
      </c>
      <c r="M7" s="2" t="b">
        <v>1</v>
      </c>
      <c r="N7" s="2" t="b">
        <v>1</v>
      </c>
      <c r="O7" s="2" t="b">
        <v>1</v>
      </c>
      <c r="P7" s="2" t="b">
        <v>0</v>
      </c>
      <c r="Q7" s="2" t="b">
        <v>1</v>
      </c>
      <c r="R7" s="2" t="b">
        <v>0</v>
      </c>
      <c r="S7" s="3">
        <f>$T7 &gt; 1</f>
        <v/>
      </c>
      <c r="T7" s="2" t="n">
        <v>2</v>
      </c>
      <c r="U7" s="3">
        <f>AND($Q7, $R7)</f>
        <v/>
      </c>
      <c r="V7" s="2" t="inlineStr">
        <is>
          <t>OneDimensionalSymbolic</t>
        </is>
      </c>
      <c r="W7" s="3">
        <f>IF($T7 = 1, "IsMirrorOf", "IsDescriptionOf")</f>
        <v/>
      </c>
      <c r="X7" s="2" t="inlineStr">
        <is>
          <t>M1</t>
        </is>
      </c>
      <c r="Y7" s="2" t="n">
        <v>4</v>
      </c>
    </row>
    <row r="8">
      <c r="A8" s="2" t="inlineStr">
        <is>
          <t>a-coffee-mug</t>
        </is>
      </c>
      <c r="B8" s="2" t="inlineStr">
        <is>
          <t>A Coffee Mug</t>
        </is>
      </c>
      <c r="C8" s="2" t="inlineStr">
        <is>
          <t>Physical Object</t>
        </is>
      </c>
      <c r="D8" s="3">
        <f>"Is " &amp; $B8 &amp; " a language?"</f>
        <v/>
      </c>
      <c r="E8" s="3">
        <f>AND(
  $H8,
  $L8,
  $S8,
  $N8,
  $M8,
  $O8,
  NOT($J8),
  NOT($I8)
)</f>
        <v/>
      </c>
      <c r="F8" s="2" t="b">
        <v>0</v>
      </c>
      <c r="G8" s="3">
        <f>IF(NOT($E8 = $F8),
  $B8 &amp; " " &amp; IF($E8, "Is", "Isn't") &amp; " a Family Feud Language, but " &amp; 
  IF($F8, "Is", "Is Not") &amp; " marked as a 'Language Candidate.'") &amp; IF($U8, " - Open World vs. Closed World Conflict.")</f>
        <v/>
      </c>
      <c r="H8" s="2" t="b">
        <v>0</v>
      </c>
      <c r="I8" s="2" t="b">
        <v>1</v>
      </c>
      <c r="J8" s="2" t="b">
        <v>1</v>
      </c>
      <c r="K8" s="3">
        <f>$H8 = TRUE()</f>
        <v/>
      </c>
      <c r="L8" s="2" t="b">
        <v>0</v>
      </c>
      <c r="M8" s="2" t="b">
        <v>0</v>
      </c>
      <c r="N8" s="2" t="b">
        <v>0</v>
      </c>
      <c r="O8" s="2" t="b">
        <v>0</v>
      </c>
      <c r="P8" s="2" t="b">
        <v>0</v>
      </c>
      <c r="Q8" s="2" t="b">
        <v>0</v>
      </c>
      <c r="R8" s="2" t="b">
        <v>1</v>
      </c>
      <c r="S8" s="3">
        <f>$T8 &gt; 1</f>
        <v/>
      </c>
      <c r="T8" s="2" t="n">
        <v>1</v>
      </c>
      <c r="U8" s="3">
        <f>AND($Q8, $R8)</f>
        <v/>
      </c>
      <c r="V8" s="2" t="inlineStr">
        <is>
          <t>N/A</t>
        </is>
      </c>
      <c r="W8" s="3">
        <f>IF($T8 = 1, "IsMirrorOf", "IsDescriptionOf")</f>
        <v/>
      </c>
      <c r="X8" s="2" t="inlineStr">
        <is>
          <t>NA</t>
        </is>
      </c>
      <c r="Y8" s="2" t="n">
        <v>5</v>
      </c>
    </row>
    <row r="9">
      <c r="A9" s="2" t="inlineStr">
        <is>
          <t>a-game-of-fortnite</t>
        </is>
      </c>
      <c r="B9" s="2" t="inlineStr">
        <is>
          <t>A Game of Fortnite</t>
        </is>
      </c>
      <c r="C9" s="2" t="inlineStr">
        <is>
          <t>Running Software</t>
        </is>
      </c>
      <c r="D9" s="3">
        <f>"Is " &amp; $B9 &amp; " a language?"</f>
        <v/>
      </c>
      <c r="E9" s="3">
        <f>AND(
  $H9,
  $L9,
  $S9,
  $N9,
  $M9,
  $O9,
  NOT($J9),
  NOT($I9)
)</f>
        <v/>
      </c>
      <c r="F9" s="2" t="b">
        <v>0</v>
      </c>
      <c r="G9" s="3">
        <f>IF(NOT($E9 = $F9),
  $B9 &amp; " " &amp; IF($E9, "Is", "Isn't") &amp; " a Family Feud Language, but " &amp; 
  IF($F9, "Is", "Is Not") &amp; " marked as a 'Language Candidate.'") &amp; IF($U9, " - Open World vs. Closed World Conflict.")</f>
        <v/>
      </c>
      <c r="H9" s="2" t="b">
        <v>0</v>
      </c>
      <c r="I9" s="2" t="b">
        <v>1</v>
      </c>
      <c r="J9" s="2" t="b">
        <v>0</v>
      </c>
      <c r="K9" s="3">
        <f>$H9 = TRUE()</f>
        <v/>
      </c>
      <c r="L9" s="2" t="b">
        <v>1</v>
      </c>
      <c r="M9" s="2" t="b">
        <v>0</v>
      </c>
      <c r="N9" s="2" t="b">
        <v>0</v>
      </c>
      <c r="O9" s="2" t="b">
        <v>0</v>
      </c>
      <c r="P9" s="2" t="b">
        <v>0</v>
      </c>
      <c r="Q9" s="2" t="b">
        <v>0</v>
      </c>
      <c r="R9" s="2" t="b">
        <v>1</v>
      </c>
      <c r="S9" s="3">
        <f>$T9 &gt; 1</f>
        <v/>
      </c>
      <c r="T9" s="2" t="n">
        <v>1</v>
      </c>
      <c r="U9" s="3">
        <f>AND($Q9, $R9)</f>
        <v/>
      </c>
      <c r="V9" s="2" t="inlineStr">
        <is>
          <t>MultiDimensionalNonSymbolic</t>
        </is>
      </c>
      <c r="W9" s="3">
        <f>IF($T9 = 1, "IsMirrorOf", "IsDescriptionOf")</f>
        <v/>
      </c>
      <c r="X9" s="2" t="inlineStr">
        <is>
          <t>M4</t>
        </is>
      </c>
      <c r="Y9" s="2" t="n">
        <v>6</v>
      </c>
    </row>
    <row r="10">
      <c r="A10" s="2" t="inlineStr">
        <is>
          <t>sign-language</t>
        </is>
      </c>
      <c r="B10" s="2" t="inlineStr">
        <is>
          <t>Sign Language</t>
        </is>
      </c>
      <c r="C10" s="2" t="inlineStr">
        <is>
          <t>Natural Language</t>
        </is>
      </c>
      <c r="D10" s="3">
        <f>"Is " &amp; $B10 &amp; " a language?"</f>
        <v/>
      </c>
      <c r="E10" s="3">
        <f>AND(
  $H10,
  $L10,
  $S10,
  $N10,
  $M10,
  $O10,
  NOT($J10),
  NOT($I10)
)</f>
        <v/>
      </c>
      <c r="F10" s="2" t="b">
        <v>1</v>
      </c>
      <c r="G10" s="3">
        <f>IF(NOT($E10 = $F10),
  $B10 &amp; " " &amp; IF($E10, "Is", "Isn't") &amp; " a Family Feud Language, but " &amp; 
  IF($F10, "Is", "Is Not") &amp; " marked as a 'Language Candidate.'") &amp; IF($U10, " - Open World vs. Closed World Conflict.")</f>
        <v/>
      </c>
      <c r="H10" s="2" t="b">
        <v>1</v>
      </c>
      <c r="I10" s="2" t="b">
        <v>0</v>
      </c>
      <c r="J10" s="2" t="b">
        <v>0</v>
      </c>
      <c r="K10" s="3">
        <f>$H10 = TRUE()</f>
        <v/>
      </c>
      <c r="L10" s="2" t="b">
        <v>1</v>
      </c>
      <c r="M10" s="2" t="b">
        <v>1</v>
      </c>
      <c r="N10" s="2" t="b">
        <v>1</v>
      </c>
      <c r="O10" s="2" t="b">
        <v>1</v>
      </c>
      <c r="P10" s="2" t="b">
        <v>0</v>
      </c>
      <c r="Q10" s="2" t="b">
        <v>1</v>
      </c>
      <c r="R10" s="2" t="b">
        <v>0</v>
      </c>
      <c r="S10" s="3">
        <f>$T10 &gt; 1</f>
        <v/>
      </c>
      <c r="T10" s="2" t="n">
        <v>2</v>
      </c>
      <c r="U10" s="3">
        <f>AND($Q10, $R10)</f>
        <v/>
      </c>
      <c r="V10" s="2" t="inlineStr">
        <is>
          <t>OneDimensionalSymbolic</t>
        </is>
      </c>
      <c r="W10" s="3">
        <f>IF($T10 = 1, "IsMirrorOf", "IsDescriptionOf")</f>
        <v/>
      </c>
      <c r="X10" s="2" t="inlineStr">
        <is>
          <t>M1</t>
        </is>
      </c>
      <c r="Y10" s="2" t="n">
        <v>7</v>
      </c>
    </row>
    <row r="11">
      <c r="A11" s="2" t="inlineStr">
        <is>
          <t>python</t>
        </is>
      </c>
      <c r="B11" s="2" t="inlineStr">
        <is>
          <t>Python</t>
        </is>
      </c>
      <c r="C11" s="2" t="inlineStr">
        <is>
          <t>Formal Language</t>
        </is>
      </c>
      <c r="D11" s="3">
        <f>"Is " &amp; $B11 &amp; " a language?"</f>
        <v/>
      </c>
      <c r="E11" s="3">
        <f>AND(
  $H11,
  $L11,
  $S11,
  $N11,
  $M11,
  $O11,
  NOT($J11),
  NOT($I11)
)</f>
        <v/>
      </c>
      <c r="F11" s="2" t="b">
        <v>1</v>
      </c>
      <c r="G11" s="3">
        <f>IF(NOT($E11 = $F11),
  $B11 &amp; " " &amp; IF($E11, "Is", "Isn't") &amp; " a Family Feud Language, but " &amp; 
  IF($F11, "Is", "Is Not") &amp; " marked as a 'Language Candidate.'") &amp; IF($U11, " - Open World vs. Closed World Conflict.")</f>
        <v/>
      </c>
      <c r="H11" s="2" t="b">
        <v>1</v>
      </c>
      <c r="I11" s="2" t="b">
        <v>0</v>
      </c>
      <c r="J11" s="2" t="b">
        <v>0</v>
      </c>
      <c r="K11" s="3">
        <f>$H11 = TRUE()</f>
        <v/>
      </c>
      <c r="L11" s="2" t="b">
        <v>1</v>
      </c>
      <c r="M11" s="2" t="b">
        <v>1</v>
      </c>
      <c r="N11" s="2" t="b">
        <v>1</v>
      </c>
      <c r="O11" s="2" t="b">
        <v>1</v>
      </c>
      <c r="P11" s="2" t="b">
        <v>0</v>
      </c>
      <c r="Q11" s="2" t="b">
        <v>1</v>
      </c>
      <c r="R11" s="2" t="b">
        <v>0</v>
      </c>
      <c r="S11" s="3">
        <f>$T11 &gt; 1</f>
        <v/>
      </c>
      <c r="T11" s="2" t="n">
        <v>2</v>
      </c>
      <c r="U11" s="3">
        <f>AND($Q11, $R11)</f>
        <v/>
      </c>
      <c r="V11" s="2" t="inlineStr">
        <is>
          <t>OneDimensionalSymbolic</t>
        </is>
      </c>
      <c r="W11" s="3">
        <f>IF($T11 = 1, "IsMirrorOf", "IsDescriptionOf")</f>
        <v/>
      </c>
      <c r="X11" s="2" t="inlineStr">
        <is>
          <t>M1</t>
        </is>
      </c>
      <c r="Y11" s="2" t="n">
        <v>8</v>
      </c>
    </row>
    <row r="12">
      <c r="A12" s="2" t="inlineStr">
        <is>
          <t>a-smartphone</t>
        </is>
      </c>
      <c r="B12" s="2" t="inlineStr">
        <is>
          <t>A Smartphone</t>
        </is>
      </c>
      <c r="C12" s="2" t="inlineStr">
        <is>
          <t>Physical Object</t>
        </is>
      </c>
      <c r="D12" s="3">
        <f>"Is " &amp; $B12 &amp; " a language?"</f>
        <v/>
      </c>
      <c r="E12" s="3">
        <f>AND(
  $H12,
  $L12,
  $S12,
  $N12,
  $M12,
  $O12,
  NOT($J12),
  NOT($I12)
)</f>
        <v/>
      </c>
      <c r="F12" s="2" t="b">
        <v>0</v>
      </c>
      <c r="G12" s="3">
        <f>IF(NOT($E12 = $F12),
  $B12 &amp; " " &amp; IF($E12, "Is", "Isn't") &amp; " a Family Feud Language, but " &amp; 
  IF($F12, "Is", "Is Not") &amp; " marked as a 'Language Candidate.'") &amp; IF($U12, " - Open World vs. Closed World Conflict.")</f>
        <v/>
      </c>
      <c r="H12" s="2" t="b">
        <v>0</v>
      </c>
      <c r="I12" s="2" t="b">
        <v>1</v>
      </c>
      <c r="J12" s="2" t="b">
        <v>1</v>
      </c>
      <c r="K12" s="3">
        <f>$H12 = TRUE()</f>
        <v/>
      </c>
      <c r="L12" s="2" t="b">
        <v>0</v>
      </c>
      <c r="M12" s="2" t="b">
        <v>0</v>
      </c>
      <c r="N12" s="2" t="b">
        <v>1</v>
      </c>
      <c r="O12" s="2" t="b">
        <v>0</v>
      </c>
      <c r="P12" s="2" t="b">
        <v>0</v>
      </c>
      <c r="Q12" s="2" t="b">
        <v>0</v>
      </c>
      <c r="R12" s="2" t="b">
        <v>1</v>
      </c>
      <c r="S12" s="3">
        <f>$T12 &gt; 1</f>
        <v/>
      </c>
      <c r="T12" s="2" t="n">
        <v>1</v>
      </c>
      <c r="U12" s="3">
        <f>AND($Q12, $R12)</f>
        <v/>
      </c>
      <c r="V12" s="2" t="inlineStr">
        <is>
          <t>N/A</t>
        </is>
      </c>
      <c r="W12" s="3">
        <f>IF($T12 = 1, "IsMirrorOf", "IsDescriptionOf")</f>
        <v/>
      </c>
      <c r="X12" s="2" t="inlineStr">
        <is>
          <t>NA</t>
        </is>
      </c>
      <c r="Y12" s="2" t="n">
        <v>9</v>
      </c>
    </row>
    <row r="13">
      <c r="A13" s="2" t="inlineStr">
        <is>
          <t>a-running-app</t>
        </is>
      </c>
      <c r="B13" s="2" t="inlineStr">
        <is>
          <t xml:space="preserve">A Running App </t>
        </is>
      </c>
      <c r="C13" s="2" t="inlineStr">
        <is>
          <t>Running Software</t>
        </is>
      </c>
      <c r="D13" s="3">
        <f>"Is " &amp; $B13 &amp; " a language?"</f>
        <v/>
      </c>
      <c r="E13" s="3">
        <f>AND(
  $H13,
  $L13,
  $S13,
  $N13,
  $M13,
  $O13,
  NOT($J13),
  NOT($I13)
)</f>
        <v/>
      </c>
      <c r="F13" s="2" t="b">
        <v>0</v>
      </c>
      <c r="G13" s="3">
        <f>IF(NOT($E13 = $F13),
  $B13 &amp; " " &amp; IF($E13, "Is", "Isn't") &amp; " a Family Feud Language, but " &amp; 
  IF($F13, "Is", "Is Not") &amp; " marked as a 'Language Candidate.'") &amp; IF($U13, " - Open World vs. Closed World Conflict.")</f>
        <v/>
      </c>
      <c r="H13" s="2" t="b">
        <v>0</v>
      </c>
      <c r="I13" s="2" t="b">
        <v>1</v>
      </c>
      <c r="J13" s="2" t="b">
        <v>0</v>
      </c>
      <c r="K13" s="3">
        <f>$H13 = TRUE()</f>
        <v/>
      </c>
      <c r="L13" s="2" t="b">
        <v>1</v>
      </c>
      <c r="M13" s="2" t="b">
        <v>0</v>
      </c>
      <c r="N13" s="2" t="b">
        <v>1</v>
      </c>
      <c r="O13" s="2" t="b">
        <v>0</v>
      </c>
      <c r="P13" s="2" t="b">
        <v>1</v>
      </c>
      <c r="Q13" s="2" t="b">
        <v>0</v>
      </c>
      <c r="R13" s="2" t="b">
        <v>1</v>
      </c>
      <c r="S13" s="3">
        <f>$T13 &gt; 1</f>
        <v/>
      </c>
      <c r="T13" s="2" t="n">
        <v>1</v>
      </c>
      <c r="U13" s="3">
        <f>AND($Q13, $R13)</f>
        <v/>
      </c>
      <c r="V13" s="2" t="inlineStr">
        <is>
          <t>MultiDimensionalNonSymbolic</t>
        </is>
      </c>
      <c r="W13" s="3">
        <f>IF($T13 = 1, "IsMirrorOf", "IsDescriptionOf")</f>
        <v/>
      </c>
      <c r="X13" s="2" t="inlineStr">
        <is>
          <t>M4</t>
        </is>
      </c>
      <c r="Y13" s="2" t="n">
        <v>22</v>
      </c>
    </row>
    <row r="14">
      <c r="A14" s="2" t="inlineStr">
        <is>
          <t>an-xlsx-doc</t>
        </is>
      </c>
      <c r="B14" s="2" t="inlineStr">
        <is>
          <t>An XLSX Doc</t>
        </is>
      </c>
      <c r="C14" s="2" t="inlineStr">
        <is>
          <t>Formal Language</t>
        </is>
      </c>
      <c r="D14" s="3">
        <f>"Is " &amp; $B14 &amp; " a language?"</f>
        <v/>
      </c>
      <c r="E14" s="3">
        <f>AND(
  $H14,
  $L14,
  $S14,
  $N14,
  $M14,
  $O14,
  NOT($J14),
  NOT($I14)
)</f>
        <v/>
      </c>
      <c r="F14" s="2" t="b">
        <v>1</v>
      </c>
      <c r="G14" s="3">
        <f>IF(NOT($E14 = $F14),
  $B14 &amp; " " &amp; IF($E14, "Is", "Isn't") &amp; " a Family Feud Language, but " &amp; 
  IF($F14, "Is", "Is Not") &amp; " marked as a 'Language Candidate.'") &amp; IF($U14, " - Open World vs. Closed World Conflict.")</f>
        <v/>
      </c>
      <c r="H14" s="2" t="b">
        <v>1</v>
      </c>
      <c r="I14" s="2" t="b">
        <v>0</v>
      </c>
      <c r="J14" s="2" t="b">
        <v>0</v>
      </c>
      <c r="K14" s="3">
        <f>$H14 = TRUE()</f>
        <v/>
      </c>
      <c r="L14" s="2" t="b">
        <v>1</v>
      </c>
      <c r="M14" s="2" t="b">
        <v>1</v>
      </c>
      <c r="N14" s="2" t="b">
        <v>1</v>
      </c>
      <c r="O14" s="2" t="b">
        <v>1</v>
      </c>
      <c r="P14" s="2" t="b">
        <v>0</v>
      </c>
      <c r="Q14" s="2" t="b">
        <v>0</v>
      </c>
      <c r="R14" s="2" t="b">
        <v>0</v>
      </c>
      <c r="S14" s="3">
        <f>$T14 &gt; 1</f>
        <v/>
      </c>
      <c r="T14" s="2" t="n">
        <v>2</v>
      </c>
      <c r="U14" s="3">
        <f>AND($Q14, $R14)</f>
        <v/>
      </c>
      <c r="V14" s="2" t="inlineStr">
        <is>
          <t>OneDimensionalSymbolic</t>
        </is>
      </c>
      <c r="W14" s="3">
        <f>IF($T14 = 1, "IsMirrorOf", "IsDescriptionOf")</f>
        <v/>
      </c>
      <c r="X14" s="2" t="inlineStr">
        <is>
          <t>M2</t>
        </is>
      </c>
      <c r="Y14" s="2" t="n">
        <v>23</v>
      </c>
    </row>
    <row r="15">
      <c r="A15" s="2" t="inlineStr">
        <is>
          <t>xlsx-editing</t>
        </is>
      </c>
      <c r="B15" s="2" t="inlineStr">
        <is>
          <t>XLSX - Editing</t>
        </is>
      </c>
      <c r="C15" s="2" t="inlineStr">
        <is>
          <t>Running Software</t>
        </is>
      </c>
      <c r="D15" s="3">
        <f>"Is " &amp; $B15 &amp; " a language?"</f>
        <v/>
      </c>
      <c r="E15" s="3">
        <f>AND(
  $H15,
  $L15,
  $S15,
  $N15,
  $M15,
  $O15,
  NOT($J15),
  NOT($I15)
)</f>
        <v/>
      </c>
      <c r="F15" s="2" t="b">
        <v>0</v>
      </c>
      <c r="G15" s="3">
        <f>IF(NOT($E15 = $F15),
  $B15 &amp; " " &amp; IF($E15, "Is", "Isn't") &amp; " a Family Feud Language, but " &amp; 
  IF($F15, "Is", "Is Not") &amp; " marked as a 'Language Candidate.'") &amp; IF($U15, " - Open World vs. Closed World Conflict.")</f>
        <v/>
      </c>
      <c r="H15" s="2" t="b">
        <v>0</v>
      </c>
      <c r="I15" s="2" t="b">
        <v>0</v>
      </c>
      <c r="J15" s="2" t="b">
        <v>0</v>
      </c>
      <c r="K15" s="3">
        <f>$H15 = TRUE()</f>
        <v/>
      </c>
      <c r="L15" s="2" t="b">
        <v>0</v>
      </c>
      <c r="M15" s="2" t="b">
        <v>1</v>
      </c>
      <c r="N15" s="2" t="b">
        <v>0</v>
      </c>
      <c r="O15" s="2" t="b">
        <v>0</v>
      </c>
      <c r="P15" s="2" t="b">
        <v>1</v>
      </c>
      <c r="Q15" s="2" t="b">
        <v>0</v>
      </c>
      <c r="R15" s="2" t="b">
        <v>0</v>
      </c>
      <c r="S15" s="3">
        <f>$T15 &gt; 1</f>
        <v/>
      </c>
      <c r="T15" s="2" t="n">
        <v>1</v>
      </c>
      <c r="U15" s="3">
        <f>AND($Q15, $R15)</f>
        <v/>
      </c>
      <c r="V15" s="2" t="inlineStr">
        <is>
          <t>MultiDimensionalNonSymbolic</t>
        </is>
      </c>
      <c r="W15" s="3">
        <f>IF($T15 = 1, "IsMirrorOf", "IsDescriptionOf")</f>
        <v/>
      </c>
      <c r="X15" s="2" t="inlineStr">
        <is>
          <t>M4</t>
        </is>
      </c>
      <c r="Y15" s="2" t="n">
        <v>24</v>
      </c>
    </row>
    <row r="16">
      <c r="A16" s="2" t="inlineStr">
        <is>
          <t>an-docx-doc</t>
        </is>
      </c>
      <c r="B16" s="2" t="inlineStr">
        <is>
          <t>An DOCX Doc</t>
        </is>
      </c>
      <c r="C16" s="2" t="inlineStr">
        <is>
          <t>Formal Language</t>
        </is>
      </c>
      <c r="D16" s="3">
        <f>"Is " &amp; $B16 &amp; " a language?"</f>
        <v/>
      </c>
      <c r="E16" s="3">
        <f>AND(
  $H16,
  $L16,
  $S16,
  $N16,
  $M16,
  $O16,
  NOT($J16),
  NOT($I16)
)</f>
        <v/>
      </c>
      <c r="F16" s="2" t="b">
        <v>1</v>
      </c>
      <c r="G16" s="3">
        <f>IF(NOT($E16 = $F16),
  $B16 &amp; " " &amp; IF($E16, "Is", "Isn't") &amp; " a Family Feud Language, but " &amp; 
  IF($F16, "Is", "Is Not") &amp; " marked as a 'Language Candidate.'") &amp; IF($U16, " - Open World vs. Closed World Conflict.")</f>
        <v/>
      </c>
      <c r="H16" s="2" t="b">
        <v>1</v>
      </c>
      <c r="I16" s="2" t="b">
        <v>0</v>
      </c>
      <c r="J16" s="2" t="b">
        <v>0</v>
      </c>
      <c r="K16" s="3">
        <f>$H16 = TRUE()</f>
        <v/>
      </c>
      <c r="L16" s="2" t="b">
        <v>1</v>
      </c>
      <c r="M16" s="2" t="b">
        <v>1</v>
      </c>
      <c r="N16" s="2" t="b">
        <v>1</v>
      </c>
      <c r="O16" s="2" t="b">
        <v>1</v>
      </c>
      <c r="P16" s="2" t="b">
        <v>0</v>
      </c>
      <c r="Q16" s="2" t="b">
        <v>0</v>
      </c>
      <c r="R16" s="2" t="b">
        <v>0</v>
      </c>
      <c r="S16" s="3">
        <f>$T16 &gt; 1</f>
        <v/>
      </c>
      <c r="T16" s="2" t="n">
        <v>2</v>
      </c>
      <c r="U16" s="3">
        <f>AND($Q16, $R16)</f>
        <v/>
      </c>
      <c r="V16" s="2" t="inlineStr">
        <is>
          <t>OneDimensionalSymbolic</t>
        </is>
      </c>
      <c r="W16" s="3">
        <f>IF($T16 = 1, "IsMirrorOf", "IsDescriptionOf")</f>
        <v/>
      </c>
      <c r="X16" s="2" t="inlineStr">
        <is>
          <t>M2</t>
        </is>
      </c>
      <c r="Y16" s="2" t="n">
        <v>25</v>
      </c>
    </row>
    <row r="17">
      <c r="A17" s="2" t="inlineStr">
        <is>
          <t>docx-editing</t>
        </is>
      </c>
      <c r="B17" s="2" t="inlineStr">
        <is>
          <t>DOCX - Editing</t>
        </is>
      </c>
      <c r="C17" s="2" t="inlineStr">
        <is>
          <t>Running Software</t>
        </is>
      </c>
      <c r="D17" s="3">
        <f>"Is " &amp; $B17 &amp; " a language?"</f>
        <v/>
      </c>
      <c r="E17" s="3">
        <f>AND(
  $H17,
  $L17,
  $S17,
  $N17,
  $M17,
  $O17,
  NOT($J17),
  NOT($I17)
)</f>
        <v/>
      </c>
      <c r="F17" s="2" t="b">
        <v>0</v>
      </c>
      <c r="G17" s="3">
        <f>IF(NOT($E17 = $F17),
  $B17 &amp; " " &amp; IF($E17, "Is", "Isn't") &amp; " a Family Feud Language, but " &amp; 
  IF($F17, "Is", "Is Not") &amp; " marked as a 'Language Candidate.'") &amp; IF($U17, " - Open World vs. Closed World Conflict.")</f>
        <v/>
      </c>
      <c r="H17" s="2" t="b">
        <v>0</v>
      </c>
      <c r="I17" s="2" t="b">
        <v>0</v>
      </c>
      <c r="J17" s="2" t="b">
        <v>0</v>
      </c>
      <c r="K17" s="3">
        <f>$H17 = TRUE()</f>
        <v/>
      </c>
      <c r="L17" s="2" t="b">
        <v>0</v>
      </c>
      <c r="M17" s="2" t="b">
        <v>0</v>
      </c>
      <c r="N17" s="2" t="b">
        <v>0</v>
      </c>
      <c r="O17" s="2" t="b">
        <v>1</v>
      </c>
      <c r="P17" s="2" t="b">
        <v>1</v>
      </c>
      <c r="Q17" s="2" t="b">
        <v>0</v>
      </c>
      <c r="R17" s="2" t="b">
        <v>0</v>
      </c>
      <c r="S17" s="3">
        <f>$T17 &gt; 1</f>
        <v/>
      </c>
      <c r="T17" s="2" t="n">
        <v>1</v>
      </c>
      <c r="U17" s="3">
        <f>AND($Q17, $R17)</f>
        <v/>
      </c>
      <c r="V17" s="2" t="inlineStr">
        <is>
          <t>MultiDimensionalNonSymbolic</t>
        </is>
      </c>
      <c r="W17" s="3">
        <f>IF($T17 = 1, "IsMirrorOf", "IsDescriptionOf")</f>
        <v/>
      </c>
      <c r="X17" s="2" t="inlineStr">
        <is>
          <t>M4</t>
        </is>
      </c>
      <c r="Y17" s="2" t="n">
        <v>25</v>
      </c>
    </row>
    <row r="18">
      <c r="A18" s="2" t="inlineStr">
        <is>
          <t>a-csv-file</t>
        </is>
      </c>
      <c r="B18" s="2" t="inlineStr">
        <is>
          <t>A CSV File</t>
        </is>
      </c>
      <c r="C18" s="2" t="inlineStr">
        <is>
          <t>Formal Language</t>
        </is>
      </c>
      <c r="D18" s="3">
        <f>"Is " &amp; $B18 &amp; " a language?"</f>
        <v/>
      </c>
      <c r="E18" s="3">
        <f>AND(
  $H18,
  $L18,
  $S18,
  $N18,
  $M18,
  $O18,
  NOT($J18),
  NOT($I18)
)</f>
        <v/>
      </c>
      <c r="F18" s="2" t="b">
        <v>1</v>
      </c>
      <c r="G18" s="3">
        <f>IF(NOT($E18 = $F18),
  $B18 &amp; " " &amp; IF($E18, "Is", "Isn't") &amp; " a Family Feud Language, but " &amp; 
  IF($F18, "Is", "Is Not") &amp; " marked as a 'Language Candidate.'") &amp; IF($U18, " - Open World vs. Closed World Conflict.")</f>
        <v/>
      </c>
      <c r="H18" s="2" t="b">
        <v>1</v>
      </c>
      <c r="I18" s="2" t="b">
        <v>0</v>
      </c>
      <c r="J18" s="2" t="b">
        <v>0</v>
      </c>
      <c r="K18" s="3">
        <f>$H18 = TRUE()</f>
        <v/>
      </c>
      <c r="L18" s="2" t="b">
        <v>1</v>
      </c>
      <c r="M18" s="2" t="b">
        <v>1</v>
      </c>
      <c r="N18" s="2" t="b">
        <v>1</v>
      </c>
      <c r="O18" s="2" t="b">
        <v>1</v>
      </c>
      <c r="P18" s="2" t="b">
        <v>0</v>
      </c>
      <c r="Q18" s="2" t="b">
        <v>1</v>
      </c>
      <c r="R18" s="2" t="b">
        <v>0</v>
      </c>
      <c r="S18" s="3">
        <f>$T18 &gt; 1</f>
        <v/>
      </c>
      <c r="T18" s="2" t="n">
        <v>2</v>
      </c>
      <c r="U18" s="3">
        <f>AND($Q18, $R18)</f>
        <v/>
      </c>
      <c r="V18" s="2" t="inlineStr">
        <is>
          <t>OneDimensionalSymbolic</t>
        </is>
      </c>
      <c r="W18" s="3">
        <f>IF($T18 = 1, "IsMirrorOf", "IsDescriptionOf")</f>
        <v/>
      </c>
      <c r="X18" s="2" t="inlineStr">
        <is>
          <t>M2</t>
        </is>
      </c>
      <c r="Y18" s="2" t="n">
        <v>10</v>
      </c>
    </row>
    <row r="19">
      <c r="A19" s="2" t="inlineStr">
        <is>
          <t>owl-rdf-graphql-generally</t>
        </is>
      </c>
      <c r="B19" s="2" t="inlineStr">
        <is>
          <t>OWL/RDF/GraphQL/... generally</t>
        </is>
      </c>
      <c r="C19" s="2" t="inlineStr">
        <is>
          <t>Natural Language</t>
        </is>
      </c>
      <c r="D19" s="3">
        <f>"Is " &amp; $B19 &amp; " a language?"</f>
        <v/>
      </c>
      <c r="E19" s="3">
        <f>AND(
  $H19,
  $L19,
  $S19,
  $N19,
  $M19,
  $O19,
  NOT($J19),
  NOT($I19)
)</f>
        <v/>
      </c>
      <c r="F19" s="2" t="b">
        <v>1</v>
      </c>
      <c r="G19" s="3">
        <f>IF(NOT($E19 = $F19),
  $B19 &amp; " " &amp; IF($E19, "Is", "Isn't") &amp; " a Family Feud Language, but " &amp; 
  IF($F19, "Is", "Is Not") &amp; " marked as a 'Language Candidate.'") &amp; IF($U19, " - Open World vs. Closed World Conflict.")</f>
        <v/>
      </c>
      <c r="H19" s="2" t="b">
        <v>1</v>
      </c>
      <c r="I19" s="2" t="b">
        <v>0</v>
      </c>
      <c r="J19" s="2" t="b">
        <v>0</v>
      </c>
      <c r="K19" s="3">
        <f>$H19 = TRUE()</f>
        <v/>
      </c>
      <c r="L19" s="2" t="b">
        <v>1</v>
      </c>
      <c r="M19" s="2" t="b">
        <v>1</v>
      </c>
      <c r="N19" s="2" t="b">
        <v>1</v>
      </c>
      <c r="O19" s="2" t="b">
        <v>1</v>
      </c>
      <c r="P19" s="2" t="b">
        <v>0</v>
      </c>
      <c r="Q19" s="2" t="b">
        <v>0</v>
      </c>
      <c r="R19" s="2" t="b">
        <v>1</v>
      </c>
      <c r="S19" s="3">
        <f>$T19 &gt; 1</f>
        <v/>
      </c>
      <c r="T19" s="2" t="n">
        <v>2</v>
      </c>
      <c r="U19" s="3">
        <f>AND($Q19, $R19)</f>
        <v/>
      </c>
      <c r="V19" s="2" t="inlineStr">
        <is>
          <t>OneDimensionalSymbolic</t>
        </is>
      </c>
      <c r="W19" s="3">
        <f>IF($T19 = 1, "IsMirrorOf", "IsDescriptionOf")</f>
        <v/>
      </c>
      <c r="X19" s="2" t="inlineStr">
        <is>
          <t>M2</t>
        </is>
      </c>
      <c r="Y19" s="2" t="n">
        <v>11</v>
      </c>
    </row>
    <row r="20">
      <c r="A20" s="2" t="inlineStr">
        <is>
          <t>a-thunderstorm</t>
        </is>
      </c>
      <c r="B20" s="2" t="inlineStr">
        <is>
          <t>A Thunderstorm</t>
        </is>
      </c>
      <c r="C20" s="2" t="inlineStr">
        <is>
          <t>Physical event</t>
        </is>
      </c>
      <c r="D20" s="3">
        <f>"Is " &amp; $B20 &amp; " a language?"</f>
        <v/>
      </c>
      <c r="E20" s="3">
        <f>AND(
  $H20,
  $L20,
  $S20,
  $N20,
  $M20,
  $O20,
  NOT($J20),
  NOT($I20)
)</f>
        <v/>
      </c>
      <c r="F20" s="2" t="b">
        <v>0</v>
      </c>
      <c r="G20" s="3">
        <f>IF(NOT($E20 = $F20),
  $B20 &amp; " " &amp; IF($E20, "Is", "Isn't") &amp; " a Family Feud Language, but " &amp; 
  IF($F20, "Is", "Is Not") &amp; " marked as a 'Language Candidate.'") &amp; IF($U20, " - Open World vs. Closed World Conflict.")</f>
        <v/>
      </c>
      <c r="H20" s="2" t="b">
        <v>0</v>
      </c>
      <c r="I20" s="2" t="b">
        <v>1</v>
      </c>
      <c r="J20" s="2" t="b">
        <v>1</v>
      </c>
      <c r="K20" s="3">
        <f>$H20 = TRUE()</f>
        <v/>
      </c>
      <c r="L20" s="2" t="b">
        <v>1</v>
      </c>
      <c r="M20" s="2" t="b">
        <v>1</v>
      </c>
      <c r="N20" s="2" t="b">
        <v>0</v>
      </c>
      <c r="O20" s="2" t="b">
        <v>0</v>
      </c>
      <c r="P20" s="2" t="b">
        <v>0</v>
      </c>
      <c r="Q20" s="2" t="b">
        <v>0</v>
      </c>
      <c r="R20" s="2" t="b">
        <v>0</v>
      </c>
      <c r="S20" s="3">
        <f>$T20 &gt; 1</f>
        <v/>
      </c>
      <c r="T20" s="2" t="n">
        <v>1</v>
      </c>
      <c r="U20" s="3">
        <f>AND($Q20, $R20)</f>
        <v/>
      </c>
      <c r="V20" s="2" t="inlineStr">
        <is>
          <t>N/A</t>
        </is>
      </c>
      <c r="W20" s="3">
        <f>IF($T20 = 1, "IsMirrorOf", "IsDescriptionOf")</f>
        <v/>
      </c>
      <c r="X20" s="2" t="inlineStr">
        <is>
          <t>NA</t>
        </is>
      </c>
      <c r="Y20" s="2" t="n">
        <v>13</v>
      </c>
    </row>
    <row r="21">
      <c r="A21" s="2" t="inlineStr">
        <is>
          <t>a-uml-file</t>
        </is>
      </c>
      <c r="B21" s="2" t="inlineStr">
        <is>
          <t>A UML File</t>
        </is>
      </c>
      <c r="C21" s="2" t="inlineStr">
        <is>
          <t>Formal Language</t>
        </is>
      </c>
      <c r="D21" s="3">
        <f>"Is " &amp; $B21 &amp; " a language?"</f>
        <v/>
      </c>
      <c r="E21" s="3">
        <f>AND(
  $H21,
  $L21,
  $S21,
  $N21,
  $M21,
  $O21,
  NOT($J21),
  NOT($I21)
)</f>
        <v/>
      </c>
      <c r="F21" s="2" t="b">
        <v>1</v>
      </c>
      <c r="G21" s="3">
        <f>IF(NOT($E21 = $F21),
  $B21 &amp; " " &amp; IF($E21, "Is", "Isn't") &amp; " a Family Feud Language, but " &amp; 
  IF($F21, "Is", "Is Not") &amp; " marked as a 'Language Candidate.'") &amp; IF($U21, " - Open World vs. Closed World Conflict.")</f>
        <v/>
      </c>
      <c r="H21" s="2" t="b">
        <v>1</v>
      </c>
      <c r="I21" s="2" t="b">
        <v>0</v>
      </c>
      <c r="J21" s="2" t="b">
        <v>0</v>
      </c>
      <c r="K21" s="3">
        <f>$H21 = TRUE()</f>
        <v/>
      </c>
      <c r="L21" s="2" t="b">
        <v>1</v>
      </c>
      <c r="M21" s="2" t="b">
        <v>1</v>
      </c>
      <c r="N21" s="2" t="b">
        <v>1</v>
      </c>
      <c r="O21" s="2" t="b">
        <v>1</v>
      </c>
      <c r="P21" s="2" t="b">
        <v>0</v>
      </c>
      <c r="Q21" s="2" t="b">
        <v>0</v>
      </c>
      <c r="R21" s="2" t="b">
        <v>0</v>
      </c>
      <c r="S21" s="3">
        <f>$T21 &gt; 1</f>
        <v/>
      </c>
      <c r="T21" s="2" t="n">
        <v>2</v>
      </c>
      <c r="U21" s="3">
        <f>AND($Q21, $R21)</f>
        <v/>
      </c>
      <c r="V21" s="2" t="inlineStr">
        <is>
          <t>OneDimensionalSymbolic</t>
        </is>
      </c>
      <c r="W21" s="3">
        <f>IF($T21 = 1, "IsMirrorOf", "IsDescriptionOf")</f>
        <v/>
      </c>
      <c r="X21" s="2" t="inlineStr">
        <is>
          <t>M2</t>
        </is>
      </c>
      <c r="Y21" s="2" t="n">
        <v>14</v>
      </c>
    </row>
    <row r="22">
      <c r="A22" s="2" t="inlineStr">
        <is>
          <t>binary-code</t>
        </is>
      </c>
      <c r="B22" s="2" t="inlineStr">
        <is>
          <t>Binary Code</t>
        </is>
      </c>
      <c r="C22" s="2" t="inlineStr">
        <is>
          <t>Formal Language</t>
        </is>
      </c>
      <c r="D22" s="3">
        <f>"Is " &amp; $B22 &amp; " a language?"</f>
        <v/>
      </c>
      <c r="E22" s="3">
        <f>AND(
  $H22,
  $L22,
  $S22,
  $N22,
  $M22,
  $O22,
  NOT($J22),
  NOT($I22)
)</f>
        <v/>
      </c>
      <c r="F22" s="2" t="b">
        <v>1</v>
      </c>
      <c r="G22" s="3">
        <f>IF(NOT($E22 = $F22),
  $B22 &amp; " " &amp; IF($E22, "Is", "Isn't") &amp; " a Family Feud Language, but " &amp; 
  IF($F22, "Is", "Is Not") &amp; " marked as a 'Language Candidate.'") &amp; IF($U22, " - Open World vs. Closed World Conflict.")</f>
        <v/>
      </c>
      <c r="H22" s="2" t="b">
        <v>1</v>
      </c>
      <c r="I22" s="2" t="b">
        <v>0</v>
      </c>
      <c r="J22" s="2" t="b">
        <v>0</v>
      </c>
      <c r="K22" s="3">
        <f>$H22 = TRUE()</f>
        <v/>
      </c>
      <c r="L22" s="2" t="b">
        <v>1</v>
      </c>
      <c r="M22" s="2" t="b">
        <v>1</v>
      </c>
      <c r="N22" s="2" t="b">
        <v>1</v>
      </c>
      <c r="O22" s="2" t="b">
        <v>1</v>
      </c>
      <c r="P22" s="2" t="b">
        <v>0</v>
      </c>
      <c r="Q22" s="2" t="b">
        <v>0</v>
      </c>
      <c r="R22" s="2" t="b">
        <v>0</v>
      </c>
      <c r="S22" s="3">
        <f>$T22 &gt; 1</f>
        <v/>
      </c>
      <c r="T22" s="2" t="n">
        <v>2</v>
      </c>
      <c r="U22" s="3">
        <f>AND($Q22, $R22)</f>
        <v/>
      </c>
      <c r="V22" s="2" t="inlineStr">
        <is>
          <t>OneDimensionalSymbolic</t>
        </is>
      </c>
      <c r="W22" s="3">
        <f>IF($T22 = 1, "IsMirrorOf", "IsDescriptionOf")</f>
        <v/>
      </c>
      <c r="X22" s="2" t="inlineStr">
        <is>
          <t>M2</t>
        </is>
      </c>
      <c r="Y22" s="2" t="n">
        <v>15</v>
      </c>
    </row>
    <row r="23">
      <c r="A23" s="2" t="inlineStr">
        <is>
          <t>the-mona-lisa</t>
        </is>
      </c>
      <c r="B23" s="2" t="inlineStr">
        <is>
          <t>The Mona Lisa</t>
        </is>
      </c>
      <c r="C23" s="2" t="inlineStr">
        <is>
          <t>Physical Object</t>
        </is>
      </c>
      <c r="D23" s="3">
        <f>"Is " &amp; $B23 &amp; " a language?"</f>
        <v/>
      </c>
      <c r="E23" s="3">
        <f>AND(
  $H23,
  $L23,
  $S23,
  $N23,
  $M23,
  $O23,
  NOT($J23),
  NOT($I23)
)</f>
        <v/>
      </c>
      <c r="F23" s="2" t="b">
        <v>0</v>
      </c>
      <c r="G23" s="3">
        <f>IF(NOT($E23 = $F23),
  $B23 &amp; " " &amp; IF($E23, "Is", "Isn't") &amp; " a Family Feud Language, but " &amp; 
  IF($F23, "Is", "Is Not") &amp; " marked as a 'Language Candidate.'") &amp; IF($U23, " - Open World vs. Closed World Conflict.")</f>
        <v/>
      </c>
      <c r="H23" s="2" t="b">
        <v>0</v>
      </c>
      <c r="I23" s="2" t="b">
        <v>1</v>
      </c>
      <c r="J23" s="2" t="b">
        <v>1</v>
      </c>
      <c r="K23" s="3">
        <f>$H23 = TRUE()</f>
        <v/>
      </c>
      <c r="L23" s="2" t="b">
        <v>0</v>
      </c>
      <c r="M23" s="2" t="b">
        <v>0</v>
      </c>
      <c r="N23" s="2" t="b">
        <v>0</v>
      </c>
      <c r="O23" s="2" t="b">
        <v>1</v>
      </c>
      <c r="P23" s="2" t="b">
        <v>0</v>
      </c>
      <c r="Q23" s="2" t="b">
        <v>0</v>
      </c>
      <c r="R23" s="2" t="b">
        <v>0</v>
      </c>
      <c r="S23" s="3">
        <f>$T23 &gt; 1</f>
        <v/>
      </c>
      <c r="T23" s="2" t="n">
        <v>1</v>
      </c>
      <c r="U23" s="3">
        <f>AND($Q23, $R23)</f>
        <v/>
      </c>
      <c r="V23" s="2" t="inlineStr">
        <is>
          <t>N/A</t>
        </is>
      </c>
      <c r="W23" s="3">
        <f>IF($T23 = 1, "IsMirrorOf", "IsDescriptionOf")</f>
        <v/>
      </c>
      <c r="X23" s="2" t="inlineStr">
        <is>
          <t>NA</t>
        </is>
      </c>
      <c r="Y23" s="2" t="n">
        <v>16</v>
      </c>
    </row>
    <row r="24">
      <c r="A24" s="2" t="inlineStr">
        <is>
          <t>running-calculator-app</t>
        </is>
      </c>
      <c r="B24" s="2" t="inlineStr">
        <is>
          <t>Running Calculator App</t>
        </is>
      </c>
      <c r="C24" s="2" t="inlineStr">
        <is>
          <t>Running Software</t>
        </is>
      </c>
      <c r="D24" s="3">
        <f>"Is " &amp; $B24 &amp; " a language?"</f>
        <v/>
      </c>
      <c r="E24" s="3">
        <f>AND(
  $H24,
  $L24,
  $S24,
  $N24,
  $M24,
  $O24,
  NOT($J24),
  NOT($I24)
)</f>
        <v/>
      </c>
      <c r="F24" s="2" t="b">
        <v>0</v>
      </c>
      <c r="G24" s="3">
        <f>IF(NOT($E24 = $F24),
  $B24 &amp; " " &amp; IF($E24, "Is", "Isn't") &amp; " a Family Feud Language, but " &amp; 
  IF($F24, "Is", "Is Not") &amp; " marked as a 'Language Candidate.'") &amp; IF($U24, " - Open World vs. Closed World Conflict.")</f>
        <v/>
      </c>
      <c r="H24" s="2" t="b">
        <v>0</v>
      </c>
      <c r="I24" s="2" t="b">
        <v>1</v>
      </c>
      <c r="J24" s="2" t="b">
        <v>0</v>
      </c>
      <c r="K24" s="3">
        <f>$H24 = TRUE()</f>
        <v/>
      </c>
      <c r="L24" s="2" t="b">
        <v>1</v>
      </c>
      <c r="M24" s="2" t="b">
        <v>1</v>
      </c>
      <c r="N24" s="2" t="b">
        <v>0</v>
      </c>
      <c r="O24" s="2" t="b">
        <v>0</v>
      </c>
      <c r="P24" s="2" t="b">
        <v>0</v>
      </c>
      <c r="Q24" s="2" t="b">
        <v>0</v>
      </c>
      <c r="R24" s="2" t="b">
        <v>0</v>
      </c>
      <c r="S24" s="3">
        <f>$T24 &gt; 1</f>
        <v/>
      </c>
      <c r="T24" s="2" t="n">
        <v>1</v>
      </c>
      <c r="U24" s="3">
        <f>AND($Q24, $R24)</f>
        <v/>
      </c>
      <c r="V24" s="2" t="inlineStr">
        <is>
          <t>MultiDimensionalNonSymbolic</t>
        </is>
      </c>
      <c r="W24" s="3">
        <f>IF($T24 = 1, "IsMirrorOf", "IsDescriptionOf")</f>
        <v/>
      </c>
      <c r="X24" s="2" t="inlineStr">
        <is>
          <t>M1</t>
        </is>
      </c>
      <c r="Y24" s="2" t="n">
        <v>17</v>
      </c>
    </row>
    <row r="25">
      <c r="A25" s="2" t="inlineStr">
        <is>
          <t>javascript</t>
        </is>
      </c>
      <c r="B25" s="2" t="inlineStr">
        <is>
          <t>JavaScript</t>
        </is>
      </c>
      <c r="C25" s="2" t="inlineStr">
        <is>
          <t>Formal Language</t>
        </is>
      </c>
      <c r="D25" s="3">
        <f>"Is " &amp; $B25 &amp; " a language?"</f>
        <v/>
      </c>
      <c r="E25" s="3">
        <f>AND(
  $H25,
  $L25,
  $S25,
  $N25,
  $M25,
  $O25,
  NOT($J25),
  NOT($I25)
)</f>
        <v/>
      </c>
      <c r="F25" s="2" t="b">
        <v>1</v>
      </c>
      <c r="G25" s="3">
        <f>IF(NOT($E25 = $F25),
  $B25 &amp; " " &amp; IF($E25, "Is", "Isn't") &amp; " a Family Feud Language, but " &amp; 
  IF($F25, "Is", "Is Not") &amp; " marked as a 'Language Candidate.'") &amp; IF($U25, " - Open World vs. Closed World Conflict.")</f>
        <v/>
      </c>
      <c r="H25" s="2" t="b">
        <v>1</v>
      </c>
      <c r="I25" s="2" t="b">
        <v>0</v>
      </c>
      <c r="J25" s="2" t="b">
        <v>0</v>
      </c>
      <c r="K25" s="3">
        <f>$H25 = TRUE()</f>
        <v/>
      </c>
      <c r="L25" s="2" t="b">
        <v>1</v>
      </c>
      <c r="M25" s="2" t="b">
        <v>1</v>
      </c>
      <c r="N25" s="2" t="b">
        <v>1</v>
      </c>
      <c r="O25" s="2" t="b">
        <v>1</v>
      </c>
      <c r="P25" s="2" t="b">
        <v>0</v>
      </c>
      <c r="Q25" s="2" t="b">
        <v>0</v>
      </c>
      <c r="R25" s="2" t="b">
        <v>0</v>
      </c>
      <c r="S25" s="3">
        <f>$T25 &gt; 1</f>
        <v/>
      </c>
      <c r="T25" s="2" t="n">
        <v>2</v>
      </c>
      <c r="U25" s="3">
        <f>AND($Q25, $R25)</f>
        <v/>
      </c>
      <c r="V25" s="2" t="inlineStr">
        <is>
          <t>OneDimensionalSymbolic</t>
        </is>
      </c>
      <c r="W25" s="3">
        <f>IF($T25 = 1, "IsMirrorOf", "IsDescriptionOf")</f>
        <v/>
      </c>
      <c r="X25" s="2" t="inlineStr">
        <is>
          <t>M1</t>
        </is>
      </c>
      <c r="Y25" s="2" t="n">
        <v>18</v>
      </c>
    </row>
    <row r="26">
      <c r="A26" s="2" t="inlineStr">
        <is>
          <t>french</t>
        </is>
      </c>
      <c r="B26" s="2" t="inlineStr">
        <is>
          <t>French</t>
        </is>
      </c>
      <c r="C26" s="2" t="inlineStr">
        <is>
          <t>Natural Language</t>
        </is>
      </c>
      <c r="D26" s="3">
        <f>"Is " &amp; $B26 &amp; " a language?"</f>
        <v/>
      </c>
      <c r="E26" s="3">
        <f>AND(
  $H26,
  $L26,
  $S26,
  $N26,
  $M26,
  $O26,
  NOT($J26),
  NOT($I26)
)</f>
        <v/>
      </c>
      <c r="F26" s="2" t="b">
        <v>1</v>
      </c>
      <c r="G26" s="3">
        <f>IF(NOT($E26 = $F26),
  $B26 &amp; " " &amp; IF($E26, "Is", "Isn't") &amp; " a Family Feud Language, but " &amp; 
  IF($F26, "Is", "Is Not") &amp; " marked as a 'Language Candidate.'") &amp; IF($U26, " - Open World vs. Closed World Conflict.")</f>
        <v/>
      </c>
      <c r="H26" s="2" t="b">
        <v>1</v>
      </c>
      <c r="I26" s="2" t="b">
        <v>0</v>
      </c>
      <c r="J26" s="2" t="b">
        <v>0</v>
      </c>
      <c r="K26" s="3">
        <f>$H26 = TRUE()</f>
        <v/>
      </c>
      <c r="L26" s="2" t="b">
        <v>1</v>
      </c>
      <c r="M26" s="2" t="b">
        <v>1</v>
      </c>
      <c r="N26" s="2" t="b">
        <v>1</v>
      </c>
      <c r="O26" s="2" t="b">
        <v>1</v>
      </c>
      <c r="P26" s="2" t="b">
        <v>0</v>
      </c>
      <c r="Q26" s="2" t="b">
        <v>0</v>
      </c>
      <c r="R26" s="2" t="b">
        <v>0</v>
      </c>
      <c r="S26" s="3">
        <f>$T26 &gt; 1</f>
        <v/>
      </c>
      <c r="T26" s="2" t="n">
        <v>2</v>
      </c>
      <c r="U26" s="3">
        <f>AND($Q26, $R26)</f>
        <v/>
      </c>
      <c r="V26" s="2" t="inlineStr">
        <is>
          <t>OneDimensionalSymbolic</t>
        </is>
      </c>
      <c r="W26" s="3">
        <f>IF($T26 = 1, "IsMirrorOf", "IsDescriptionOf")</f>
        <v/>
      </c>
      <c r="X26" s="2" t="inlineStr">
        <is>
          <t>M1</t>
        </is>
      </c>
      <c r="Y26" s="2" t="n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  <col width="22" customWidth="1" min="8" max="8"/>
    <col width="20" customWidth="1" min="9" max="9"/>
    <col width="22" customWidth="1" min="10" max="10"/>
    <col width="12" customWidth="1" min="11" max="11"/>
  </cols>
  <sheetData>
    <row r="1">
      <c r="A1" s="1" t="inlineStr">
        <is>
          <t>IsEverythingALanguageId</t>
        </is>
      </c>
      <c r="B1" s="1" t="inlineStr">
        <is>
          <t>Name</t>
        </is>
      </c>
      <c r="C1" s="1" t="inlineStr">
        <is>
          <t>ArgumentName</t>
        </is>
      </c>
      <c r="D1" s="1" t="inlineStr">
        <is>
          <t>ArgumentCategory</t>
        </is>
      </c>
      <c r="E1" s="1" t="inlineStr">
        <is>
          <t>StepType</t>
        </is>
      </c>
      <c r="F1" s="1" t="inlineStr">
        <is>
          <t>Statement</t>
        </is>
      </c>
      <c r="G1" s="1" t="inlineStr">
        <is>
          <t>Formalization</t>
        </is>
      </c>
      <c r="H1" s="1" t="inlineStr">
        <is>
          <t>RelatedCandidateName</t>
        </is>
      </c>
      <c r="I1" s="1" t="inlineStr">
        <is>
          <t>RelatedCandidateId</t>
        </is>
      </c>
      <c r="J1" s="1" t="inlineStr">
        <is>
          <t>EvidenceFromRulebook</t>
        </is>
      </c>
      <c r="K1" s="1" t="inlineStr">
        <is>
          <t>Notes</t>
        </is>
      </c>
    </row>
    <row r="2">
      <c r="A2" s="2" t="inlineStr">
        <is>
          <t>neial-001</t>
        </is>
      </c>
      <c r="B2" s="2" t="inlineStr">
        <is>
          <t>NEIAL-001</t>
        </is>
      </c>
      <c r="C2" s="2" t="inlineStr">
        <is>
          <t>LanguageCanBeFormalized</t>
        </is>
      </c>
      <c r="D2" s="2" t="inlineStr">
        <is>
          <t>Definition</t>
        </is>
      </c>
      <c r="E2" s="2" t="inlineStr">
        <is>
          <t>Motivation</t>
        </is>
      </c>
      <c r="F2" s="2" t="inlineStr">
        <is>
          <t>To avoid the slogan 'Everything is a language', treat 'language' as a typed construct defined by testable properties (syntax, parsing, linear decoding pressure, and descriptor-role).</t>
        </is>
      </c>
      <c r="G2" s="2" t="inlineStr"/>
      <c r="H2" s="2" t="inlineStr"/>
      <c r="I2" s="2" t="inlineStr"/>
      <c r="J2" s="2" t="inlineStr"/>
      <c r="K2" s="2" t="inlineStr">
        <is>
          <t>This keeps 'can be interpreted' separate from 'is a language system'.</t>
        </is>
      </c>
    </row>
    <row r="3">
      <c r="A3" s="2" t="inlineStr">
        <is>
          <t>neial-002</t>
        </is>
      </c>
      <c r="B3" s="2" t="inlineStr">
        <is>
          <t>NEIAL-002</t>
        </is>
      </c>
      <c r="C3" s="2" t="inlineStr">
        <is>
          <t>LanguageCanBeFormalized</t>
        </is>
      </c>
      <c r="D3" s="2" t="inlineStr">
        <is>
          <t>Definition</t>
        </is>
      </c>
      <c r="E3" s="2" t="inlineStr">
        <is>
          <t>PredicateSet</t>
        </is>
      </c>
      <c r="F3" s="2" t="inlineStr">
        <is>
          <t>Use the repo predicates: HasSyntax, RequiresParsing, HasLinearDecodingPressure, StableOntologyReference (spelled IsOngologyDescriptor in the dataset), plus auxiliary checks like CanBeHeld and HasIdentity.</t>
        </is>
      </c>
      <c r="G3" s="2" t="inlineStr">
        <is>
          <t>Predicates: Syntax(x), Parse(x), SerializeMeaning(x), OntDesc(x), Tangible(x)</t>
        </is>
      </c>
      <c r="H3" s="2" t="inlineStr"/>
      <c r="I3" s="2" t="inlineStr"/>
      <c r="J3" s="2" t="inlineStr"/>
      <c r="K3" s="2" t="inlineStr">
        <is>
          <t>We preserve the dataset's field name even when misspelled to match the generated schema.</t>
        </is>
      </c>
    </row>
    <row r="4">
      <c r="A4" s="2" t="inlineStr">
        <is>
          <t>neial-003</t>
        </is>
      </c>
      <c r="B4" s="2" t="inlineStr">
        <is>
          <t>NEIAL-003</t>
        </is>
      </c>
      <c r="C4" s="2" t="inlineStr">
        <is>
          <t>LanguageCanBeFormalized</t>
        </is>
      </c>
      <c r="D4" s="2" t="inlineStr">
        <is>
          <t>Definition</t>
        </is>
      </c>
      <c r="E4" s="2" t="inlineStr">
        <is>
          <t>Definition</t>
        </is>
      </c>
      <c r="F4" s="2" t="inlineStr">
        <is>
          <t>Operational definition: an item x counts as a Language if it has syntax, requires parsing, serializes meaning, and functions as an ontology/descriptor system.</t>
        </is>
      </c>
      <c r="G4" s="2" t="inlineStr">
        <is>
          <t>Language(x) := HasSyntax(x) ∧ RequiresParsing(x) ∧ HasLinearDecodingPressure(x) ∧ StableOntologyReference(x)</t>
        </is>
      </c>
      <c r="H4" s="2" t="inlineStr"/>
      <c r="I4" s="2" t="inlineStr"/>
      <c r="J4" s="2" t="inlineStr"/>
      <c r="K4" s="2" t="inlineStr">
        <is>
          <t>This is a deliberately 'strong' definition: it matches formal languages and many natural language representations.</t>
        </is>
      </c>
    </row>
    <row r="5">
      <c r="A5" s="2" t="inlineStr">
        <is>
          <t>neial-004</t>
        </is>
      </c>
      <c r="B5" s="2" t="inlineStr">
        <is>
          <t>NEIAL-004</t>
        </is>
      </c>
      <c r="C5" s="2" t="inlineStr">
        <is>
          <t>LanguageCanBeFormalized</t>
        </is>
      </c>
      <c r="D5" s="2" t="inlineStr">
        <is>
          <t>Premise</t>
        </is>
      </c>
      <c r="E5" s="2" t="inlineStr">
        <is>
          <t>Witness</t>
        </is>
      </c>
      <c r="F5" s="2" t="inlineStr">
        <is>
          <t>There exists at least one clear witness that satisfies the operational definition: English.</t>
        </is>
      </c>
      <c r="G5" s="2" t="inlineStr">
        <is>
          <t>∃x (x=English ∧ Language(x))</t>
        </is>
      </c>
      <c r="H5" s="2" t="inlineStr">
        <is>
          <t>English</t>
        </is>
      </c>
      <c r="I5" s="2" t="inlineStr">
        <is>
          <t>english</t>
        </is>
      </c>
      <c r="J5" s="2" t="inlineStr">
        <is>
          <t>HasSyntax=True; RequiresParsing=True; HasLinearDecodingPressure=True; IsOngologyDescriptor=True; CanBeHeld=False; HasIdentity=False; DistanceFromConcept=2; Category=Natural Language</t>
        </is>
      </c>
      <c r="K5" s="2" t="inlineStr">
        <is>
          <t>If any predicate is false in your current dataset for this witness, adjust the candidate record or relax the definition.</t>
        </is>
      </c>
    </row>
    <row r="6">
      <c r="A6" s="2" t="inlineStr">
        <is>
          <t>neial-005</t>
        </is>
      </c>
      <c r="B6" s="2" t="inlineStr">
        <is>
          <t>NEIAL-005</t>
        </is>
      </c>
      <c r="C6" s="2" t="inlineStr">
        <is>
          <t>LanguageCanBeFormalized</t>
        </is>
      </c>
      <c r="D6" s="2" t="inlineStr">
        <is>
          <t>Premise</t>
        </is>
      </c>
      <c r="E6" s="2" t="inlineStr">
        <is>
          <t>Witness</t>
        </is>
      </c>
      <c r="F6" s="2" t="inlineStr">
        <is>
          <t>There exists at least one clear witness that satisfies the operational definition: Python.</t>
        </is>
      </c>
      <c r="G6" s="2" t="inlineStr">
        <is>
          <t>∃x (x=Python ∧ Language(x))</t>
        </is>
      </c>
      <c r="H6" s="2" t="inlineStr">
        <is>
          <t>Python</t>
        </is>
      </c>
      <c r="I6" s="2" t="inlineStr">
        <is>
          <t>python</t>
        </is>
      </c>
      <c r="J6" s="2" t="inlineStr">
        <is>
          <t>HasSyntax=True; RequiresParsing=True; HasLinearDecodingPressure=True; IsOngologyDescriptor=True; CanBeHeld=False; HasIdentity=False; DistanceFromConcept=2; Category=Formal Language</t>
        </is>
      </c>
      <c r="K6" s="2" t="inlineStr">
        <is>
          <t>If any predicate is false in your current dataset for this witness, adjust the candidate record or relax the definition.</t>
        </is>
      </c>
    </row>
    <row r="7">
      <c r="A7" s="2" t="inlineStr">
        <is>
          <t>neial-006</t>
        </is>
      </c>
      <c r="B7" s="2" t="inlineStr">
        <is>
          <t>NEIAL-006</t>
        </is>
      </c>
      <c r="C7" s="2" t="inlineStr">
        <is>
          <t>LanguageCanBeFormalized</t>
        </is>
      </c>
      <c r="D7" s="2" t="inlineStr">
        <is>
          <t>Conclusion</t>
        </is>
      </c>
      <c r="E7" s="2" t="inlineStr">
        <is>
          <t>Conclusion</t>
        </is>
      </c>
      <c r="F7" s="2" t="inlineStr">
        <is>
          <t>Therefore, 'language' can be formalized as a computable classification boundary over explicit predicates.</t>
        </is>
      </c>
      <c r="G7" s="2" t="inlineStr">
        <is>
          <t>(Definition ∧ Witnesses) ⇒ Formalizable(Language)</t>
        </is>
      </c>
      <c r="H7" s="2" t="inlineStr"/>
      <c r="I7" s="2" t="inlineStr"/>
      <c r="J7" s="2" t="inlineStr"/>
      <c r="K7" s="2" t="inlineStr">
        <is>
          <t>This is the concession: language is formalizable (at least operationally).</t>
        </is>
      </c>
    </row>
    <row r="8">
      <c r="A8" s="2" t="inlineStr">
        <is>
          <t>neial-007</t>
        </is>
      </c>
      <c r="B8" s="2" t="inlineStr">
        <is>
          <t>NEIAL-007</t>
        </is>
      </c>
      <c r="C8" s="2" t="inlineStr">
        <is>
          <t>NotEverythingIsALanguage</t>
        </is>
      </c>
      <c r="D8" s="2" t="inlineStr">
        <is>
          <t>Premise</t>
        </is>
      </c>
      <c r="E8" s="2" t="inlineStr">
        <is>
          <t>Entailment</t>
        </is>
      </c>
      <c r="F8" s="2" t="inlineStr">
        <is>
          <t>If Language(x) is defined by necessary conditions, then any x that fails at least one condition is not a language.</t>
        </is>
      </c>
      <c r="G8" s="2" t="inlineStr">
        <is>
          <t>∀x (¬(HasSyntax(x) ∧ RequiresParsing(x) ∧ HasLinearDecodingPressure(x) ∧ StableOntologyReference(x)) → ¬Language(x))</t>
        </is>
      </c>
      <c r="H8" s="2" t="inlineStr"/>
      <c r="I8" s="2" t="inlineStr"/>
      <c r="J8" s="2" t="inlineStr"/>
      <c r="K8" s="2" t="inlineStr">
        <is>
          <t>This is the standard move: a definition implies exclusions.</t>
        </is>
      </c>
    </row>
    <row r="9">
      <c r="A9" s="2" t="inlineStr">
        <is>
          <t>neial-008</t>
        </is>
      </c>
      <c r="B9" s="2" t="inlineStr">
        <is>
          <t>NEIAL-008</t>
        </is>
      </c>
      <c r="C9" s="2" t="inlineStr">
        <is>
          <t>NotEverythingIsALanguage</t>
        </is>
      </c>
      <c r="D9" s="2" t="inlineStr">
        <is>
          <t>Example</t>
        </is>
      </c>
      <c r="E9" s="2" t="inlineStr">
        <is>
          <t>Counterexample</t>
        </is>
      </c>
      <c r="F9" s="2" t="inlineStr">
        <is>
          <t>Counterexample: a chair can be interpreted as a sign (status, design, function), but it does not constitute a language system under the operational definition.</t>
        </is>
      </c>
      <c r="G9" s="2" t="inlineStr">
        <is>
          <t>¬Language(Chair)</t>
        </is>
      </c>
      <c r="H9" s="2" t="inlineStr">
        <is>
          <t>A Chair</t>
        </is>
      </c>
      <c r="I9" s="2" t="inlineStr"/>
      <c r="J9" s="2" t="inlineStr"/>
      <c r="K9" s="2" t="inlineStr">
        <is>
          <t>This separates semiotic availability (can signify) from linguistic structure (has syntax/parsing/serialized meaning).</t>
        </is>
      </c>
    </row>
    <row r="10">
      <c r="A10" s="2" t="inlineStr">
        <is>
          <t>neial-009</t>
        </is>
      </c>
      <c r="B10" s="2" t="inlineStr">
        <is>
          <t>NEIAL-009</t>
        </is>
      </c>
      <c r="C10" s="2" t="inlineStr">
        <is>
          <t>NotEverythingIsALanguage</t>
        </is>
      </c>
      <c r="D10" s="2" t="inlineStr">
        <is>
          <t>Example</t>
        </is>
      </c>
      <c r="E10" s="2" t="inlineStr">
        <is>
          <t>NonLanguageExample</t>
        </is>
      </c>
      <c r="F10" s="2" t="inlineStr">
        <is>
          <t>Non-language example: A Thunderstorm can be meaningful, but meaning here is not generated by an explicit syntax+parsing+serialization descriptor system.</t>
        </is>
      </c>
      <c r="G10" s="2" t="inlineStr">
        <is>
          <t>¬Language(A Thunderstorm)</t>
        </is>
      </c>
      <c r="H10" s="2" t="inlineStr">
        <is>
          <t>A Thunderstorm</t>
        </is>
      </c>
      <c r="I10" s="2" t="inlineStr">
        <is>
          <t>a-thunderstorm</t>
        </is>
      </c>
      <c r="J10" s="2" t="inlineStr">
        <is>
          <t>HasSyntax=False; RequiresParsing=True; HasLinearDecodingPressure=False; IsOngologyDescriptor=False; CanBeHeld=False; HasIdentity=True; DistanceFromConcept=1; Category=Physical event</t>
        </is>
      </c>
      <c r="K10" s="2" t="inlineStr">
        <is>
          <t>These are strong candidates for 'sign vehicles' rather than 'languages'.</t>
        </is>
      </c>
    </row>
    <row r="11">
      <c r="A11" s="2" t="inlineStr">
        <is>
          <t>neial-010</t>
        </is>
      </c>
      <c r="B11" s="2" t="inlineStr">
        <is>
          <t>NEIAL-010</t>
        </is>
      </c>
      <c r="C11" s="2" t="inlineStr">
        <is>
          <t>NotEverythingIsALanguage</t>
        </is>
      </c>
      <c r="D11" s="2" t="inlineStr">
        <is>
          <t>Example</t>
        </is>
      </c>
      <c r="E11" s="2" t="inlineStr">
        <is>
          <t>NonLanguageExample</t>
        </is>
      </c>
      <c r="F11" s="2" t="inlineStr">
        <is>
          <t>Non-language example: A Coffee Mug can be meaningful, but meaning here is not generated by an explicit syntax+parsing+serialization descriptor system.</t>
        </is>
      </c>
      <c r="G11" s="2" t="inlineStr">
        <is>
          <t>¬Language(A Coffee Mug)</t>
        </is>
      </c>
      <c r="H11" s="2" t="inlineStr">
        <is>
          <t>A Coffee Mug</t>
        </is>
      </c>
      <c r="I11" s="2" t="inlineStr">
        <is>
          <t>a-coffee-mug</t>
        </is>
      </c>
      <c r="J11" s="2" t="inlineStr">
        <is>
          <t>HasSyntax=False; RequiresParsing=False; HasLinearDecodingPressure=False; IsOngologyDescriptor=False; CanBeHeld=True; HasIdentity=True; DistanceFromConcept=1; Category=Physical Object</t>
        </is>
      </c>
      <c r="K11" s="2" t="inlineStr">
        <is>
          <t>These are strong candidates for 'sign vehicles' rather than 'languages'.</t>
        </is>
      </c>
    </row>
    <row r="12">
      <c r="A12" s="2" t="inlineStr">
        <is>
          <t>neial-011</t>
        </is>
      </c>
      <c r="B12" s="2" t="inlineStr">
        <is>
          <t>NEIAL-011</t>
        </is>
      </c>
      <c r="C12" s="2" t="inlineStr">
        <is>
          <t>NotEverythingIsALanguage</t>
        </is>
      </c>
      <c r="D12" s="2" t="inlineStr">
        <is>
          <t>Example</t>
        </is>
      </c>
      <c r="E12" s="2" t="inlineStr">
        <is>
          <t>NonLanguageExample</t>
        </is>
      </c>
      <c r="F12" s="2" t="inlineStr">
        <is>
          <t>Non-language example: The Mona Lisa can be meaningful, but meaning here is not generated by an explicit syntax+parsing+serialization descriptor system.</t>
        </is>
      </c>
      <c r="G12" s="2" t="inlineStr">
        <is>
          <t>¬Language(The Mona Lisa)</t>
        </is>
      </c>
      <c r="H12" s="2" t="inlineStr">
        <is>
          <t>The Mona Lisa</t>
        </is>
      </c>
      <c r="I12" s="2" t="inlineStr">
        <is>
          <t>the-mona-lisa</t>
        </is>
      </c>
      <c r="J12" s="2" t="inlineStr">
        <is>
          <t>HasSyntax=False; RequiresParsing=False; HasLinearDecodingPressure=False; IsOngologyDescriptor=True; CanBeHeld=True; HasIdentity=True; DistanceFromConcept=1; Category=Physical Object</t>
        </is>
      </c>
      <c r="K12" s="2" t="inlineStr">
        <is>
          <t>These are strong candidates for 'sign vehicles' rather than 'languages'.</t>
        </is>
      </c>
    </row>
    <row r="13">
      <c r="A13" s="2" t="inlineStr">
        <is>
          <t>neial-012</t>
        </is>
      </c>
      <c r="B13" s="2" t="inlineStr">
        <is>
          <t>NEIAL-012</t>
        </is>
      </c>
      <c r="C13" s="2" t="inlineStr">
        <is>
          <t>NotEverythingIsALanguage</t>
        </is>
      </c>
      <c r="D13" s="2" t="inlineStr">
        <is>
          <t>Observation</t>
        </is>
      </c>
      <c r="E13" s="2" t="inlineStr">
        <is>
          <t>FuzzyBoundary</t>
        </is>
      </c>
      <c r="F13" s="2" t="inlineStr">
        <is>
          <t>Fuzzy case: A Running App often contains embedded languages (code, UI grammars), but as an executing/interactive process it behaves like a dynamic system rather than a static serialized language artifact.</t>
        </is>
      </c>
      <c r="G13" s="2" t="inlineStr">
        <is>
          <t>Borderline(A Running App): may contain ∃y Language(y) but ¬Language(A Running App) under static-serialization criteria</t>
        </is>
      </c>
      <c r="H13" s="2" t="inlineStr">
        <is>
          <t>A Running App</t>
        </is>
      </c>
      <c r="I13" s="2" t="inlineStr"/>
      <c r="J13" s="2" t="inlineStr"/>
      <c r="K13" s="2" t="inlineStr">
        <is>
          <t>This is where traditional semiotics' 'anything is a sign' doesn’t neatly distinguish: (1) language-as-system vs (2) meaning-making interactive processes.</t>
        </is>
      </c>
    </row>
    <row r="14">
      <c r="A14" s="2" t="inlineStr">
        <is>
          <t>neial-013</t>
        </is>
      </c>
      <c r="B14" s="2" t="inlineStr">
        <is>
          <t>NEIAL-013</t>
        </is>
      </c>
      <c r="C14" s="2" t="inlineStr">
        <is>
          <t>NotEverythingIsALanguage</t>
        </is>
      </c>
      <c r="D14" s="2" t="inlineStr">
        <is>
          <t>Observation</t>
        </is>
      </c>
      <c r="E14" s="2" t="inlineStr">
        <is>
          <t>FuzzyBoundary</t>
        </is>
      </c>
      <c r="F14" s="2" t="inlineStr">
        <is>
          <t>Fuzzy case: Running Calculator App often contains embedded languages (code, UI grammars), but as an executing/interactive process it behaves like a dynamic system rather than a static serialized language artifact.</t>
        </is>
      </c>
      <c r="G14" s="2" t="inlineStr">
        <is>
          <t>Borderline(Running Calculator App): may contain ∃y Language(y) but ¬Language(Running Calculator App) under static-serialization criteria</t>
        </is>
      </c>
      <c r="H14" s="2" t="inlineStr">
        <is>
          <t>Running Calculator App</t>
        </is>
      </c>
      <c r="I14" s="2" t="inlineStr">
        <is>
          <t>running-calculator-app</t>
        </is>
      </c>
      <c r="J14" s="2" t="inlineStr">
        <is>
          <t>HasSyntax=False; RequiresParsing=True; HasLinearDecodingPressure=False; IsOngologyDescriptor=False; CanBeHeld=False; HasIdentity=True; DistanceFromConcept=1; Category=Running Software</t>
        </is>
      </c>
      <c r="K14" s="2" t="inlineStr">
        <is>
          <t>This is where traditional semiotics' 'anything is a sign' doesn’t neatly distinguish: (1) language-as-system vs (2) meaning-making interactive processes.</t>
        </is>
      </c>
    </row>
    <row r="15">
      <c r="A15" s="2" t="inlineStr">
        <is>
          <t>neial-014</t>
        </is>
      </c>
      <c r="B15" s="2" t="inlineStr">
        <is>
          <t>NEIAL-014</t>
        </is>
      </c>
      <c r="C15" s="2" t="inlineStr">
        <is>
          <t>NotEverythingIsALanguage</t>
        </is>
      </c>
      <c r="D15" s="2" t="inlineStr">
        <is>
          <t>Observation</t>
        </is>
      </c>
      <c r="E15" s="2" t="inlineStr">
        <is>
          <t>FuzzyBoundary</t>
        </is>
      </c>
      <c r="F15" s="2" t="inlineStr">
        <is>
          <t>Fuzzy case: A Game of Fortnite often contains embedded languages (code, UI grammars), but as an executing/interactive process it behaves like a dynamic system rather than a static serialized language artifact.</t>
        </is>
      </c>
      <c r="G15" s="2" t="inlineStr">
        <is>
          <t>Borderline(A Game of Fortnite): may contain ∃y Language(y) but ¬Language(A Game of Fortnite) under static-serialization criteria</t>
        </is>
      </c>
      <c r="H15" s="2" t="inlineStr">
        <is>
          <t>A Game of Fortnite</t>
        </is>
      </c>
      <c r="I15" s="2" t="inlineStr">
        <is>
          <t>a-game-of-fortnite</t>
        </is>
      </c>
      <c r="J15" s="2" t="inlineStr">
        <is>
          <t>HasSyntax=False; RequiresParsing=True; HasLinearDecodingPressure=False; IsOngologyDescriptor=False; CanBeHeld=False; HasIdentity=True; DistanceFromConcept=1; Category=Running Software</t>
        </is>
      </c>
      <c r="K15" s="2" t="inlineStr">
        <is>
          <t>This is where traditional semiotics' 'anything is a sign' doesn’t neatly distinguish: (1) language-as-system vs (2) meaning-making interactive processes.</t>
        </is>
      </c>
    </row>
    <row r="16">
      <c r="A16" s="2" t="inlineStr">
        <is>
          <t>neial-015</t>
        </is>
      </c>
      <c r="B16" s="2" t="inlineStr">
        <is>
          <t>NEIAL-015</t>
        </is>
      </c>
      <c r="C16" s="2" t="inlineStr">
        <is>
          <t>NotEverythingIsALanguage</t>
        </is>
      </c>
      <c r="D16" s="2" t="inlineStr">
        <is>
          <t>Definition</t>
        </is>
      </c>
      <c r="E16" s="2" t="inlineStr">
        <is>
          <t>Refinement</t>
        </is>
      </c>
      <c r="F16" s="2" t="inlineStr">
        <is>
          <t>Refinement: distinguish LanguageSystem (syntax/parsing/serialization descriptor) from SemioticProcess (interactive/dynamic meaning production) and from SignVehicle (object/phenomenon used as a sign).</t>
        </is>
      </c>
      <c r="G16" s="2" t="inlineStr">
        <is>
          <t>Kinds: LanguageSystem(x) | SemioticProcess(x) | SignVehicle(x)</t>
        </is>
      </c>
      <c r="H16" s="2" t="inlineStr"/>
      <c r="I16" s="2" t="inlineStr"/>
      <c r="J16" s="2" t="inlineStr"/>
      <c r="K16" s="2" t="inlineStr">
        <is>
          <t>This gives you a place to put running apps and games without forcing 'language' to swallow everything.</t>
        </is>
      </c>
    </row>
    <row r="17">
      <c r="A17" s="2" t="inlineStr">
        <is>
          <t>neial-016</t>
        </is>
      </c>
      <c r="B17" s="2" t="inlineStr">
        <is>
          <t>NEIAL-016</t>
        </is>
      </c>
      <c r="C17" s="2" t="inlineStr">
        <is>
          <t>NotEverythingIsALanguage</t>
        </is>
      </c>
      <c r="D17" s="2" t="inlineStr">
        <is>
          <t>Conclusion</t>
        </is>
      </c>
      <c r="E17" s="2" t="inlineStr">
        <is>
          <t>Conclusion</t>
        </is>
      </c>
      <c r="F17" s="2" t="inlineStr">
        <is>
          <t>Given a formalizable definition of language, not everything is a language; some things are better treated as sign vehicles or semiotic processes, with running applications as a key fuzzy region that benefits from explicit modeling.</t>
        </is>
      </c>
      <c r="G17" s="2" t="inlineStr">
        <is>
          <t>Formalizable(Language) ∧ ∃x ¬Language(x) ⇒ ¬(EverythingIsALanguage)</t>
        </is>
      </c>
      <c r="H17" s="2" t="inlineStr"/>
      <c r="I17" s="2" t="inlineStr"/>
      <c r="J17" s="2" t="inlineStr"/>
      <c r="K17" s="2" t="inlineStr">
        <is>
          <t>This is the repo's thesis in one line.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2026-02-11T01:32:36Z</dcterms:created>
  <dcterms:modified xsi:type="dcterms:W3CDTF">2026-02-11T01:32:36Z</dcterms:modified>
</cp:coreProperties>
</file>