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uageCandidates" sheetId="1" state="visible" r:id="rId1"/>
    <sheet name="IsEverythingALanguage" sheetId="2" state="visible" r:id="rId2"/>
    <sheet name="ERBCustom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22" customWidth="1" min="9" max="9"/>
    <col width="16" customWidth="1" min="10" max="10"/>
    <col width="12" customWidth="1" min="11" max="11"/>
    <col width="13" customWidth="1" min="12" max="12"/>
    <col width="17" customWidth="1" min="13" max="13"/>
    <col width="17" customWidth="1" min="14" max="14"/>
    <col width="27" customWidth="1" min="15" max="15"/>
    <col width="27" customWidth="1" min="16" max="16"/>
    <col width="22" customWidth="1" min="17" max="17"/>
    <col width="13" customWidth="1" min="18" max="18"/>
    <col width="15" customWidth="1" min="19" max="19"/>
    <col width="17" customWidth="1" min="20" max="20"/>
    <col width="21" customWidth="1" min="21" max="21"/>
    <col width="29" customWidth="1" min="22" max="22"/>
    <col width="28" customWidth="1" min="23" max="23"/>
    <col width="23" customWidth="1" min="24" max="24"/>
    <col width="26" customWidth="1" min="25" max="25"/>
    <col width="12" customWidth="1" min="26" max="26"/>
  </cols>
  <sheetData>
    <row r="1">
      <c r="A1" s="1" t="inlineStr">
        <is>
          <t>LanguageCandidateId</t>
        </is>
      </c>
      <c r="B1" s="1" t="inlineStr">
        <is>
          <t>Name</t>
        </is>
      </c>
      <c r="C1" s="1" t="inlineStr">
        <is>
          <t>IsLanguage</t>
        </is>
      </c>
      <c r="D1" s="1" t="inlineStr">
        <is>
          <t>HasGrammar</t>
        </is>
      </c>
      <c r="E1" s="1" t="inlineStr">
        <is>
          <t>HasSyntax</t>
        </is>
      </c>
      <c r="F1" s="1" t="inlineStr">
        <is>
          <t>CanBeHeld</t>
        </is>
      </c>
      <c r="G1" s="1" t="inlineStr">
        <is>
          <t>Question</t>
        </is>
      </c>
      <c r="H1" s="1" t="inlineStr">
        <is>
          <t>PredictedAnswer</t>
        </is>
      </c>
      <c r="I1" s="1" t="inlineStr">
        <is>
          <t>PredictionPredicates</t>
        </is>
      </c>
      <c r="J1" s="1" t="inlineStr">
        <is>
          <t>PredictionFail</t>
        </is>
      </c>
      <c r="K1" s="1" t="inlineStr">
        <is>
          <t>Category</t>
        </is>
      </c>
      <c r="L1" s="1" t="inlineStr">
        <is>
          <t>HasIdentity</t>
        </is>
      </c>
      <c r="M1" s="1" t="inlineStr">
        <is>
          <t>RequiresParsing</t>
        </is>
      </c>
      <c r="N1" s="1" t="inlineStr">
        <is>
          <t>ResolvesToAnAST</t>
        </is>
      </c>
      <c r="O1" s="1" t="inlineStr">
        <is>
          <t>HasLinearDecodingPressure</t>
        </is>
      </c>
      <c r="P1" s="1" t="inlineStr">
        <is>
          <t>IsStableOntologyReference</t>
        </is>
      </c>
      <c r="Q1" s="1" t="inlineStr">
        <is>
          <t>IsLiveOntologyEditor</t>
        </is>
      </c>
      <c r="R1" s="1" t="inlineStr">
        <is>
          <t>IsOpenWorld</t>
        </is>
      </c>
      <c r="S1" s="1" t="inlineStr">
        <is>
          <t>IsClosedWorld</t>
        </is>
      </c>
      <c r="T1" s="1" t="inlineStr">
        <is>
          <t>IsDescriptionOf</t>
        </is>
      </c>
      <c r="U1" s="1" t="inlineStr">
        <is>
          <t>DistanceFromConcept</t>
        </is>
      </c>
      <c r="V1" s="1" t="inlineStr">
        <is>
          <t>IsOpenClosedWorldConflicted</t>
        </is>
      </c>
      <c r="W1" s="1" t="inlineStr">
        <is>
          <t>DimensionalityWhileEditing</t>
        </is>
      </c>
      <c r="X1" s="1" t="inlineStr">
        <is>
          <t>RelationshipToConcept</t>
        </is>
      </c>
      <c r="Y1" s="1" t="inlineStr">
        <is>
          <t>ModelObjectFacilityLayer</t>
        </is>
      </c>
      <c r="Z1" s="1" t="inlineStr">
        <is>
          <t>SortOrder</t>
        </is>
      </c>
    </row>
    <row r="2">
      <c r="A2" s="2" t="inlineStr">
        <is>
          <t>english</t>
        </is>
      </c>
      <c r="B2" s="2" t="inlineStr">
        <is>
          <t>English</t>
        </is>
      </c>
      <c r="C2" s="2" t="b">
        <v>1</v>
      </c>
      <c r="D2" s="3">
        <f>$E2 = TRUE()</f>
        <v/>
      </c>
      <c r="E2" s="2" t="b">
        <v>1</v>
      </c>
      <c r="F2" s="2" t="b">
        <v>0</v>
      </c>
      <c r="G2" s="3">
        <f>"Is " &amp; $B2 &amp; " a language?"</f>
        <v/>
      </c>
      <c r="H2" s="3">
        <f>AND(
  $E2,
  $M2,
  $T2,
  $O2,
  $N2,
  $P2,
  NOT($F2),
  NOT($L2)
)</f>
        <v/>
      </c>
      <c r="I2" s="3">
        <f>IF($E2, "Has Syntax", "No Syntax") &amp; " &amp; " &amp; IF($M2, "Requires Parsing", "No Parsing Neede") &amp; " &amp; " &amp; IF($T2, "Describes the thing", "Is the Thing") &amp; " &amp; " &amp; IF($O2, "Has Linear Decoding Pressure", "No Decoding Pressure") &amp; " &amp; " &amp; IF($N2, "Resolves to AST", "No AST") &amp; ", " &amp;
"  " &amp; IF($P2, "Is Stable Ontology", "Not 'Ontology'") &amp; "\n AND " &amp;
"  " &amp; IF($F2, "Can Be Held", "Can't Be Held") &amp; ", " &amp;
"  " &amp; IF($L2, "Has Identity", "Has no Identity")</f>
        <v/>
      </c>
      <c r="J2" s="3">
        <f>IF(NOT($H2 = $C2),
  $B2 &amp; " " &amp; IF($H2, "Is", "Isn't") &amp; " a Family Feud Language, but " &amp; 
  IF($C2, "Is", "Is Not") &amp; " marked as a 'Language Candidate.'") &amp; IF($V2, " - Open World vs. Closed World Conflict.")</f>
        <v/>
      </c>
      <c r="K2" s="2" t="inlineStr">
        <is>
          <t>Natural Language</t>
        </is>
      </c>
      <c r="L2" s="2" t="b">
        <v>0</v>
      </c>
      <c r="M2" s="2" t="b">
        <v>1</v>
      </c>
      <c r="N2" s="2" t="b">
        <v>1</v>
      </c>
      <c r="O2" s="2" t="b">
        <v>1</v>
      </c>
      <c r="P2" s="2" t="b">
        <v>1</v>
      </c>
      <c r="Q2" s="2" t="b">
        <v>0</v>
      </c>
      <c r="R2" s="2" t="b">
        <v>1</v>
      </c>
      <c r="S2" s="2" t="b">
        <v>0</v>
      </c>
      <c r="T2" s="3">
        <f>$U2 &gt; 1</f>
        <v/>
      </c>
      <c r="U2" s="2" t="n">
        <v>2</v>
      </c>
      <c r="V2" s="3">
        <f>AND($R2, $S2)</f>
        <v/>
      </c>
      <c r="W2" s="2" t="inlineStr">
        <is>
          <t>OneDimensionalSymbolic</t>
        </is>
      </c>
      <c r="X2" s="3">
        <f>IF($U2 = 1, "IsMirrorOf", "IsDescriptionOf")</f>
        <v/>
      </c>
      <c r="Y2" s="2" t="inlineStr">
        <is>
          <t>M1</t>
        </is>
      </c>
      <c r="Z2" s="2" t="n">
        <v>1</v>
      </c>
    </row>
    <row r="3">
      <c r="A3" s="2" t="inlineStr">
        <is>
          <t>a-coffee-mug</t>
        </is>
      </c>
      <c r="B3" s="2" t="inlineStr">
        <is>
          <t>A Coffee Mug</t>
        </is>
      </c>
      <c r="C3" s="2" t="b">
        <v>0</v>
      </c>
      <c r="D3" s="3">
        <f>$E3 = TRUE()</f>
        <v/>
      </c>
      <c r="E3" s="2" t="b">
        <v>0</v>
      </c>
      <c r="F3" s="2" t="b">
        <v>1</v>
      </c>
      <c r="G3" s="3">
        <f>"Is " &amp; $B3 &amp; " a language?"</f>
        <v/>
      </c>
      <c r="H3" s="3">
        <f>AND(
  $E3,
  $M3,
  $T3,
  $O3,
  $N3,
  $P3,
  NOT($F3),
  NOT($L3)
)</f>
        <v/>
      </c>
      <c r="I3" s="3">
        <f>IF($E3, "Has Syntax", "No Syntax") &amp; " &amp; " &amp; IF($M3, "Requires Parsing", "No Parsing Neede") &amp; " &amp; " &amp; IF($T3, "Describes the thing", "Is the Thing") &amp; " &amp; " &amp; IF($O3, "Has Linear Decoding Pressure", "No Decoding Pressure") &amp; " &amp; " &amp; IF($N3, "Resolves to AST", "No AST") &amp; ", " &amp;
"  " &amp; IF($P3, "Is Stable Ontology", "Not 'Ontology'") &amp; "\n AND " &amp;
"  " &amp; IF($F3, "Can Be Held", "Can't Be Held") &amp; ", " &amp;
"  " &amp; IF($L3, "Has Identity", "Has no Identity")</f>
        <v/>
      </c>
      <c r="J3" s="3">
        <f>IF(NOT($H3 = $C3),
  $B3 &amp; " " &amp; IF($H3, "Is", "Isn't") &amp; " a Family Feud Language, but " &amp; 
  IF($C3, "Is", "Is Not") &amp; " marked as a 'Language Candidate.'") &amp; IF($V3, " - Open World vs. Closed World Conflict.")</f>
        <v/>
      </c>
      <c r="K3" s="2" t="inlineStr">
        <is>
          <t>Physical Object</t>
        </is>
      </c>
      <c r="L3" s="2" t="b">
        <v>1</v>
      </c>
      <c r="M3" s="2" t="b">
        <v>0</v>
      </c>
      <c r="N3" s="2" t="b">
        <v>0</v>
      </c>
      <c r="O3" s="2" t="b">
        <v>0</v>
      </c>
      <c r="P3" s="2" t="b">
        <v>0</v>
      </c>
      <c r="Q3" s="2" t="b">
        <v>0</v>
      </c>
      <c r="R3" s="2" t="b">
        <v>0</v>
      </c>
      <c r="S3" s="2" t="b">
        <v>1</v>
      </c>
      <c r="T3" s="3">
        <f>$U3 &gt; 1</f>
        <v/>
      </c>
      <c r="U3" s="2" t="n">
        <v>1</v>
      </c>
      <c r="V3" s="3">
        <f>AND($R3, $S3)</f>
        <v/>
      </c>
      <c r="W3" s="2" t="inlineStr">
        <is>
          <t>N/A</t>
        </is>
      </c>
      <c r="X3" s="3">
        <f>IF($U3 = 1, "IsMirrorOf", "IsDescriptionOf")</f>
        <v/>
      </c>
      <c r="Y3" s="2" t="inlineStr">
        <is>
          <t>NA</t>
        </is>
      </c>
      <c r="Z3" s="2" t="n">
        <v>2</v>
      </c>
    </row>
    <row r="4">
      <c r="A4" s="2" t="inlineStr">
        <is>
          <t>spoken-words</t>
        </is>
      </c>
      <c r="B4" s="2" t="inlineStr">
        <is>
          <t>Spoken Words</t>
        </is>
      </c>
      <c r="C4" s="2" t="b">
        <v>1</v>
      </c>
      <c r="D4" s="3">
        <f>$E4 = TRUE()</f>
        <v/>
      </c>
      <c r="E4" s="2" t="b">
        <v>1</v>
      </c>
      <c r="F4" s="2" t="b">
        <v>0</v>
      </c>
      <c r="G4" s="3">
        <f>"Is " &amp; $B4 &amp; " a language?"</f>
        <v/>
      </c>
      <c r="H4" s="3">
        <f>AND(
  $E4,
  $M4,
  $T4,
  $O4,
  $N4,
  $P4,
  NOT($F4),
  NOT($L4)
)</f>
        <v/>
      </c>
      <c r="I4" s="3">
        <f>IF($E4, "Has Syntax", "No Syntax") &amp; " &amp; " &amp; IF($M4, "Requires Parsing", "No Parsing Neede") &amp; " &amp; " &amp; IF($T4, "Describes the thing", "Is the Thing") &amp; " &amp; " &amp; IF($O4, "Has Linear Decoding Pressure", "No Decoding Pressure") &amp; " &amp; " &amp; IF($N4, "Resolves to AST", "No AST") &amp; ", " &amp;
"  " &amp; IF($P4, "Is Stable Ontology", "Not 'Ontology'") &amp; "\n AND " &amp;
"  " &amp; IF($F4, "Can Be Held", "Can't Be Held") &amp; ", " &amp;
"  " &amp; IF($L4, "Has Identity", "Has no Identity")</f>
        <v/>
      </c>
      <c r="J4" s="3">
        <f>IF(NOT($H4 = $C4),
  $B4 &amp; " " &amp; IF($H4, "Is", "Isn't") &amp; " a Family Feud Language, but " &amp; 
  IF($C4, "Is", "Is Not") &amp; " marked as a 'Language Candidate.'") &amp; IF($V4, " - Open World vs. Closed World Conflict.")</f>
        <v/>
      </c>
      <c r="K4" s="2" t="inlineStr">
        <is>
          <t>Natural Language</t>
        </is>
      </c>
      <c r="L4" s="2" t="b">
        <v>0</v>
      </c>
      <c r="M4" s="2" t="b">
        <v>1</v>
      </c>
      <c r="N4" s="2" t="b">
        <v>1</v>
      </c>
      <c r="O4" s="2" t="b">
        <v>1</v>
      </c>
      <c r="P4" s="2" t="b">
        <v>1</v>
      </c>
      <c r="Q4" s="2" t="b">
        <v>0</v>
      </c>
      <c r="R4" s="2" t="b">
        <v>1</v>
      </c>
      <c r="S4" s="2" t="b">
        <v>0</v>
      </c>
      <c r="T4" s="3">
        <f>$U4 &gt; 1</f>
        <v/>
      </c>
      <c r="U4" s="2" t="n">
        <v>2</v>
      </c>
      <c r="V4" s="3">
        <f>AND($R4, $S4)</f>
        <v/>
      </c>
      <c r="W4" s="2" t="inlineStr">
        <is>
          <t>OneDimensionalSymbolic</t>
        </is>
      </c>
      <c r="X4" s="3">
        <f>IF($U4 = 1, "IsMirrorOf", "IsDescriptionOf")</f>
        <v/>
      </c>
      <c r="Y4" s="2" t="inlineStr">
        <is>
          <t>M1</t>
        </is>
      </c>
      <c r="Z4" s="2" t="n">
        <v>3</v>
      </c>
    </row>
    <row r="5">
      <c r="A5" s="2" t="inlineStr">
        <is>
          <t>a-game-of-fortnite</t>
        </is>
      </c>
      <c r="B5" s="2" t="inlineStr">
        <is>
          <t>A Game of Fortnite</t>
        </is>
      </c>
      <c r="C5" s="2" t="b">
        <v>0</v>
      </c>
      <c r="D5" s="3">
        <f>$E5 = TRUE()</f>
        <v/>
      </c>
      <c r="E5" s="2" t="b">
        <v>0</v>
      </c>
      <c r="F5" s="2" t="b">
        <v>0</v>
      </c>
      <c r="G5" s="3">
        <f>"Is " &amp; $B5 &amp; " a language?"</f>
        <v/>
      </c>
      <c r="H5" s="3">
        <f>AND(
  $E5,
  $M5,
  $T5,
  $O5,
  $N5,
  $P5,
  NOT($F5),
  NOT($L5)
)</f>
        <v/>
      </c>
      <c r="I5" s="3">
        <f>IF($E5, "Has Syntax", "No Syntax") &amp; " &amp; " &amp; IF($M5, "Requires Parsing", "No Parsing Neede") &amp; " &amp; " &amp; IF($T5, "Describes the thing", "Is the Thing") &amp; " &amp; " &amp; IF($O5, "Has Linear Decoding Pressure", "No Decoding Pressure") &amp; " &amp; " &amp; IF($N5, "Resolves to AST", "No AST") &amp; ", " &amp;
"  " &amp; IF($P5, "Is Stable Ontology", "Not 'Ontology'") &amp; "\n AND " &amp;
"  " &amp; IF($F5, "Can Be Held", "Can't Be Held") &amp; ", " &amp;
"  " &amp; IF($L5, "Has Identity", "Has no Identity")</f>
        <v/>
      </c>
      <c r="J5" s="3">
        <f>IF(NOT($H5 = $C5),
  $B5 &amp; " " &amp; IF($H5, "Is", "Isn't") &amp; " a Family Feud Language, but " &amp; 
  IF($C5, "Is", "Is Not") &amp; " marked as a 'Language Candidate.'") &amp; IF($V5, " - Open World vs. Closed World Conflict.")</f>
        <v/>
      </c>
      <c r="K5" s="2" t="inlineStr">
        <is>
          <t>Running Software</t>
        </is>
      </c>
      <c r="L5" s="2" t="b">
        <v>1</v>
      </c>
      <c r="M5" s="2" t="b">
        <v>1</v>
      </c>
      <c r="N5" s="2" t="b">
        <v>0</v>
      </c>
      <c r="O5" s="2" t="b">
        <v>0</v>
      </c>
      <c r="P5" s="2" t="b">
        <v>0</v>
      </c>
      <c r="Q5" s="2" t="b">
        <v>0</v>
      </c>
      <c r="R5" s="2" t="b">
        <v>0</v>
      </c>
      <c r="S5" s="2" t="b">
        <v>1</v>
      </c>
      <c r="T5" s="3">
        <f>$U5 &gt; 1</f>
        <v/>
      </c>
      <c r="U5" s="2" t="n">
        <v>1</v>
      </c>
      <c r="V5" s="3">
        <f>AND($R5, $S5)</f>
        <v/>
      </c>
      <c r="W5" s="2" t="inlineStr">
        <is>
          <t>MultiDimensionalNonSymbolic</t>
        </is>
      </c>
      <c r="X5" s="3">
        <f>IF($U5 = 1, "IsMirrorOf", "IsDescriptionOf")</f>
        <v/>
      </c>
      <c r="Y5" s="2" t="inlineStr">
        <is>
          <t>M4</t>
        </is>
      </c>
      <c r="Z5" s="2" t="n">
        <v>4</v>
      </c>
    </row>
    <row r="6">
      <c r="A6" s="2" t="inlineStr">
        <is>
          <t>sign-language</t>
        </is>
      </c>
      <c r="B6" s="2" t="inlineStr">
        <is>
          <t>Sign Language</t>
        </is>
      </c>
      <c r="C6" s="2" t="b">
        <v>1</v>
      </c>
      <c r="D6" s="3">
        <f>$E6 = TRUE()</f>
        <v/>
      </c>
      <c r="E6" s="2" t="b">
        <v>1</v>
      </c>
      <c r="F6" s="2" t="b">
        <v>0</v>
      </c>
      <c r="G6" s="3">
        <f>"Is " &amp; $B6 &amp; " a language?"</f>
        <v/>
      </c>
      <c r="H6" s="3">
        <f>AND(
  $E6,
  $M6,
  $T6,
  $O6,
  $N6,
  $P6,
  NOT($F6),
  NOT($L6)
)</f>
        <v/>
      </c>
      <c r="I6" s="3">
        <f>IF($E6, "Has Syntax", "No Syntax") &amp; " &amp; " &amp; IF($M6, "Requires Parsing", "No Parsing Neede") &amp; " &amp; " &amp; IF($T6, "Describes the thing", "Is the Thing") &amp; " &amp; " &amp; IF($O6, "Has Linear Decoding Pressure", "No Decoding Pressure") &amp; " &amp; " &amp; IF($N6, "Resolves to AST", "No AST") &amp; ", " &amp;
"  " &amp; IF($P6, "Is Stable Ontology", "Not 'Ontology'") &amp; "\n AND " &amp;
"  " &amp; IF($F6, "Can Be Held", "Can't Be Held") &amp; ", " &amp;
"  " &amp; IF($L6, "Has Identity", "Has no Identity")</f>
        <v/>
      </c>
      <c r="J6" s="3">
        <f>IF(NOT($H6 = $C6),
  $B6 &amp; " " &amp; IF($H6, "Is", "Isn't") &amp; " a Family Feud Language, but " &amp; 
  IF($C6, "Is", "Is Not") &amp; " marked as a 'Language Candidate.'") &amp; IF($V6, " - Open World vs. Closed World Conflict.")</f>
        <v/>
      </c>
      <c r="K6" s="2" t="inlineStr">
        <is>
          <t>Natural Language</t>
        </is>
      </c>
      <c r="L6" s="2" t="b">
        <v>0</v>
      </c>
      <c r="M6" s="2" t="b">
        <v>1</v>
      </c>
      <c r="N6" s="2" t="b">
        <v>1</v>
      </c>
      <c r="O6" s="2" t="b">
        <v>1</v>
      </c>
      <c r="P6" s="2" t="b">
        <v>1</v>
      </c>
      <c r="Q6" s="2" t="b">
        <v>0</v>
      </c>
      <c r="R6" s="2" t="b">
        <v>1</v>
      </c>
      <c r="S6" s="2" t="b">
        <v>0</v>
      </c>
      <c r="T6" s="3">
        <f>$U6 &gt; 1</f>
        <v/>
      </c>
      <c r="U6" s="2" t="n">
        <v>2</v>
      </c>
      <c r="V6" s="3">
        <f>AND($R6, $S6)</f>
        <v/>
      </c>
      <c r="W6" s="2" t="inlineStr">
        <is>
          <t>OneDimensionalSymbolic</t>
        </is>
      </c>
      <c r="X6" s="3">
        <f>IF($U6 = 1, "IsMirrorOf", "IsDescriptionOf")</f>
        <v/>
      </c>
      <c r="Y6" s="2" t="inlineStr">
        <is>
          <t>M1</t>
        </is>
      </c>
      <c r="Z6" s="2" t="n">
        <v>5</v>
      </c>
    </row>
    <row r="7">
      <c r="A7" s="2" t="inlineStr">
        <is>
          <t>editing-airtable-base</t>
        </is>
      </c>
      <c r="B7" s="2" t="inlineStr">
        <is>
          <t>Editing Airtable Base</t>
        </is>
      </c>
      <c r="C7" s="2" t="b">
        <v>0</v>
      </c>
      <c r="D7" s="3">
        <f>$E7 = TRUE()</f>
        <v/>
      </c>
      <c r="E7" s="2" t="b">
        <v>0</v>
      </c>
      <c r="F7" s="2" t="b">
        <v>0</v>
      </c>
      <c r="G7" s="3">
        <f>"Is " &amp; $B7 &amp; " a language?"</f>
        <v/>
      </c>
      <c r="H7" s="3">
        <f>AND(
  $E7,
  $M7,
  $T7,
  $O7,
  $N7,
  $P7,
  NOT($F7),
  NOT($L7)
)</f>
        <v/>
      </c>
      <c r="I7" s="3">
        <f>IF($E7, "Has Syntax", "No Syntax") &amp; " &amp; " &amp; IF($M7, "Requires Parsing", "No Parsing Neede") &amp; " &amp; " &amp; IF($T7, "Describes the thing", "Is the Thing") &amp; " &amp; " &amp; IF($O7, "Has Linear Decoding Pressure", "No Decoding Pressure") &amp; " &amp; " &amp; IF($N7, "Resolves to AST", "No AST") &amp; ", " &amp;
"  " &amp; IF($P7, "Is Stable Ontology", "Not 'Ontology'") &amp; "\n AND " &amp;
"  " &amp; IF($F7, "Can Be Held", "Can't Be Held") &amp; ", " &amp;
"  " &amp; IF($L7, "Has Identity", "Has no Identity")</f>
        <v/>
      </c>
      <c r="J7" s="3">
        <f>IF(NOT($H7 = $C7),
  $B7 &amp; " " &amp; IF($H7, "Is", "Isn't") &amp; " a Family Feud Language, but " &amp; 
  IF($C7, "Is", "Is Not") &amp; " marked as a 'Language Candidate.'") &amp; IF($V7, " - Open World vs. Closed World Conflict.")</f>
        <v/>
      </c>
      <c r="K7" s="2" t="inlineStr">
        <is>
          <t>Running Software</t>
        </is>
      </c>
      <c r="L7" s="2" t="b">
        <v>1</v>
      </c>
      <c r="M7" s="2" t="b">
        <v>0</v>
      </c>
      <c r="N7" s="2" t="b">
        <v>1</v>
      </c>
      <c r="O7" s="2" t="b">
        <v>0</v>
      </c>
      <c r="P7" s="2" t="b">
        <v>1</v>
      </c>
      <c r="Q7" s="2" t="b">
        <v>1</v>
      </c>
      <c r="R7" s="2" t="b">
        <v>0</v>
      </c>
      <c r="S7" s="2" t="b">
        <v>1</v>
      </c>
      <c r="T7" s="3">
        <f>$U7 &gt; 1</f>
        <v/>
      </c>
      <c r="U7" s="2" t="n">
        <v>2</v>
      </c>
      <c r="V7" s="3">
        <f>AND($R7, $S7)</f>
        <v/>
      </c>
      <c r="W7" s="2" t="inlineStr">
        <is>
          <t>MultiDimensionalNonSymbolic</t>
        </is>
      </c>
      <c r="X7" s="3">
        <f>IF($U7 = 1, "IsMirrorOf", "IsDescriptionOf")</f>
        <v/>
      </c>
      <c r="Y7" s="2" t="inlineStr">
        <is>
          <t>M4</t>
        </is>
      </c>
      <c r="Z7" s="2" t="n">
        <v>6</v>
      </c>
    </row>
    <row r="8">
      <c r="A8" s="2" t="inlineStr">
        <is>
          <t>math</t>
        </is>
      </c>
      <c r="B8" s="2" t="inlineStr">
        <is>
          <t>Math</t>
        </is>
      </c>
      <c r="C8" s="2" t="b">
        <v>1</v>
      </c>
      <c r="D8" s="3">
        <f>$E8 = TRUE()</f>
        <v/>
      </c>
      <c r="E8" s="2" t="b">
        <v>1</v>
      </c>
      <c r="F8" s="2" t="b">
        <v>0</v>
      </c>
      <c r="G8" s="3">
        <f>"Is " &amp; $B8 &amp; " a language?"</f>
        <v/>
      </c>
      <c r="H8" s="3">
        <f>AND(
  $E8,
  $M8,
  $T8,
  $O8,
  $N8,
  $P8,
  NOT($F8),
  NOT($L8)
)</f>
        <v/>
      </c>
      <c r="I8" s="3">
        <f>IF($E8, "Has Syntax", "No Syntax") &amp; " &amp; " &amp; IF($M8, "Requires Parsing", "No Parsing Neede") &amp; " &amp; " &amp; IF($T8, "Describes the thing", "Is the Thing") &amp; " &amp; " &amp; IF($O8, "Has Linear Decoding Pressure", "No Decoding Pressure") &amp; " &amp; " &amp; IF($N8, "Resolves to AST", "No AST") &amp; ", " &amp;
"  " &amp; IF($P8, "Is Stable Ontology", "Not 'Ontology'") &amp; "\n AND " &amp;
"  " &amp; IF($F8, "Can Be Held", "Can't Be Held") &amp; ", " &amp;
"  " &amp; IF($L8, "Has Identity", "Has no Identity")</f>
        <v/>
      </c>
      <c r="J8" s="3">
        <f>IF(NOT($H8 = $C8),
  $B8 &amp; " " &amp; IF($H8, "Is", "Isn't") &amp; " a Family Feud Language, but " &amp; 
  IF($C8, "Is", "Is Not") &amp; " marked as a 'Language Candidate.'") &amp; IF($V8, " - Open World vs. Closed World Conflict.")</f>
        <v/>
      </c>
      <c r="K8" s="2" t="inlineStr">
        <is>
          <t>Formal Language</t>
        </is>
      </c>
      <c r="L8" s="2" t="b">
        <v>0</v>
      </c>
      <c r="M8" s="2" t="b">
        <v>1</v>
      </c>
      <c r="N8" s="2" t="b">
        <v>1</v>
      </c>
      <c r="O8" s="2" t="b">
        <v>1</v>
      </c>
      <c r="P8" s="2" t="b">
        <v>1</v>
      </c>
      <c r="Q8" s="2" t="b">
        <v>0</v>
      </c>
      <c r="R8" s="2" t="b">
        <v>0</v>
      </c>
      <c r="S8" s="2" t="b">
        <v>1</v>
      </c>
      <c r="T8" s="3">
        <f>$U8 &gt; 1</f>
        <v/>
      </c>
      <c r="U8" s="2" t="n">
        <v>2</v>
      </c>
      <c r="V8" s="3">
        <f>AND($R8, $S8)</f>
        <v/>
      </c>
      <c r="W8" s="2" t="inlineStr">
        <is>
          <t>OneDimensionalSymbolic</t>
        </is>
      </c>
      <c r="X8" s="3">
        <f>IF($U8 = 1, "IsMirrorOf", "IsDescriptionOf")</f>
        <v/>
      </c>
      <c r="Y8" s="2" t="inlineStr">
        <is>
          <t>M1</t>
        </is>
      </c>
      <c r="Z8" s="2" t="n">
        <v>7</v>
      </c>
    </row>
    <row r="9">
      <c r="A9" s="2" t="inlineStr">
        <is>
          <t>falsifier-a</t>
        </is>
      </c>
      <c r="B9" s="2" t="inlineStr">
        <is>
          <t>Falsifier A</t>
        </is>
      </c>
      <c r="C9" s="2" t="b">
        <v>1</v>
      </c>
      <c r="D9" s="3">
        <f>$E9 = TRUE()</f>
        <v/>
      </c>
      <c r="E9" s="2" t="b">
        <v>0</v>
      </c>
      <c r="F9" s="2" t="b">
        <v>1</v>
      </c>
      <c r="G9" s="3">
        <f>"Is " &amp; $B9 &amp; " a language?"</f>
        <v/>
      </c>
      <c r="H9" s="3">
        <f>AND(
  $E9,
  $M9,
  $T9,
  $O9,
  $N9,
  $P9,
  NOT($F9),
  NOT($L9)
)</f>
        <v/>
      </c>
      <c r="I9" s="3">
        <f>IF($E9, "Has Syntax", "No Syntax") &amp; " &amp; " &amp; IF($M9, "Requires Parsing", "No Parsing Neede") &amp; " &amp; " &amp; IF($T9, "Describes the thing", "Is the Thing") &amp; " &amp; " &amp; IF($O9, "Has Linear Decoding Pressure", "No Decoding Pressure") &amp; " &amp; " &amp; IF($N9, "Resolves to AST", "No AST") &amp; ", " &amp;
"  " &amp; IF($P9, "Is Stable Ontology", "Not 'Ontology'") &amp; "\n AND " &amp;
"  " &amp; IF($F9, "Can Be Held", "Can't Be Held") &amp; ", " &amp;
"  " &amp; IF($L9, "Has Identity", "Has no Identity")</f>
        <v/>
      </c>
      <c r="J9" s="3">
        <f>IF(NOT($H9 = $C9),
  $B9 &amp; " " &amp; IF($H9, "Is", "Isn't") &amp; " a Family Feud Language, but " &amp; 
  IF($C9, "Is", "Is Not") &amp; " marked as a 'Language Candidate.'") &amp; IF($V9, " - Open World vs. Closed World Conflict.")</f>
        <v/>
      </c>
      <c r="K9" s="2" t="inlineStr">
        <is>
          <t>MISSING: Have you seen this Language?</t>
        </is>
      </c>
      <c r="L9" s="2" t="b">
        <v>1</v>
      </c>
      <c r="M9" s="2" t="b">
        <v>1</v>
      </c>
      <c r="N9" s="2" t="b">
        <v>1</v>
      </c>
      <c r="O9" s="2" t="b">
        <v>0</v>
      </c>
      <c r="P9" s="2" t="b">
        <v>1</v>
      </c>
      <c r="Q9" s="2" t="b">
        <v>0</v>
      </c>
      <c r="R9" s="2" t="b">
        <v>0</v>
      </c>
      <c r="S9" s="2" t="b">
        <v>0</v>
      </c>
      <c r="T9" s="3">
        <f>$U9 &gt; 1</f>
        <v/>
      </c>
      <c r="U9" s="2" t="n">
        <v>1</v>
      </c>
      <c r="V9" s="3">
        <f>AND($R9, $S9)</f>
        <v/>
      </c>
      <c r="W9" s="2" t="inlineStr">
        <is>
          <t>N/A</t>
        </is>
      </c>
      <c r="X9" s="3">
        <f>IF($U9 = 1, "IsMirrorOf", "IsDescriptionOf")</f>
        <v/>
      </c>
      <c r="Y9" s="2" t="inlineStr">
        <is>
          <t>NA</t>
        </is>
      </c>
      <c r="Z9" s="2" t="n">
        <v>8</v>
      </c>
    </row>
    <row r="10">
      <c r="A10" s="2" t="inlineStr">
        <is>
          <t>falsifier-b</t>
        </is>
      </c>
      <c r="B10" s="2" t="inlineStr">
        <is>
          <t>Falsifier B</t>
        </is>
      </c>
      <c r="C10" s="2" t="b">
        <v>0</v>
      </c>
      <c r="D10" s="3">
        <f>$E10 = TRUE()</f>
        <v/>
      </c>
      <c r="E10" s="2" t="b">
        <v>1</v>
      </c>
      <c r="F10" s="2" t="b">
        <v>0</v>
      </c>
      <c r="G10" s="3">
        <f>"Is " &amp; $B10 &amp; " a language?"</f>
        <v/>
      </c>
      <c r="H10" s="3">
        <f>AND(
  $E10,
  $M10,
  $T10,
  $O10,
  $N10,
  $P10,
  NOT($F10),
  NOT($L10)
)</f>
        <v/>
      </c>
      <c r="I10" s="3">
        <f>IF($E10, "Has Syntax", "No Syntax") &amp; " &amp; " &amp; IF($M10, "Requires Parsing", "No Parsing Neede") &amp; " &amp; " &amp; IF($T10, "Describes the thing", "Is the Thing") &amp; " &amp; " &amp; IF($O10, "Has Linear Decoding Pressure", "No Decoding Pressure") &amp; " &amp; " &amp; IF($N10, "Resolves to AST", "No AST") &amp; ", " &amp;
"  " &amp; IF($P10, "Is Stable Ontology", "Not 'Ontology'") &amp; "\n AND " &amp;
"  " &amp; IF($F10, "Can Be Held", "Can't Be Held") &amp; ", " &amp;
"  " &amp; IF($L10, "Has Identity", "Has no Identity")</f>
        <v/>
      </c>
      <c r="J10" s="3">
        <f>IF(NOT($H10 = $C10),
  $B10 &amp; " " &amp; IF($H10, "Is", "Isn't") &amp; " a Family Feud Language, but " &amp; 
  IF($C10, "Is", "Is Not") &amp; " marked as a 'Language Candidate.'") &amp; IF($V10, " - Open World vs. Closed World Conflict.")</f>
        <v/>
      </c>
      <c r="K10" s="2" t="inlineStr">
        <is>
          <t>MISSING: Have you seen this Language?</t>
        </is>
      </c>
      <c r="L10" s="2" t="b">
        <v>0</v>
      </c>
      <c r="M10" s="2" t="b">
        <v>1</v>
      </c>
      <c r="N10" s="2" t="b">
        <v>1</v>
      </c>
      <c r="O10" s="2" t="b">
        <v>1</v>
      </c>
      <c r="P10" s="2" t="b">
        <v>1</v>
      </c>
      <c r="Q10" s="2" t="b">
        <v>0</v>
      </c>
      <c r="R10" s="2" t="b">
        <v>0</v>
      </c>
      <c r="S10" s="2" t="b">
        <v>0</v>
      </c>
      <c r="T10" s="3">
        <f>$U10 &gt; 1</f>
        <v/>
      </c>
      <c r="U10" s="2" t="n">
        <v>2</v>
      </c>
      <c r="V10" s="3">
        <f>AND($R10, $S10)</f>
        <v/>
      </c>
      <c r="W10" s="2" t="inlineStr">
        <is>
          <t>N/A</t>
        </is>
      </c>
      <c r="X10" s="3">
        <f>IF($U10 = 1, "IsMirrorOf", "IsDescriptionOf")</f>
        <v/>
      </c>
      <c r="Y10" s="2" t="inlineStr">
        <is>
          <t>M1</t>
        </is>
      </c>
      <c r="Z10" s="2" t="n">
        <v>9</v>
      </c>
    </row>
    <row r="11">
      <c r="A11" s="2" t="inlineStr">
        <is>
          <t>a-smartphone</t>
        </is>
      </c>
      <c r="B11" s="2" t="inlineStr">
        <is>
          <t>A Smartphone</t>
        </is>
      </c>
      <c r="C11" s="2" t="b">
        <v>0</v>
      </c>
      <c r="D11" s="3">
        <f>$E11 = TRUE()</f>
        <v/>
      </c>
      <c r="E11" s="2" t="b">
        <v>0</v>
      </c>
      <c r="F11" s="2" t="b">
        <v>1</v>
      </c>
      <c r="G11" s="3">
        <f>"Is " &amp; $B11 &amp; " a language?"</f>
        <v/>
      </c>
      <c r="H11" s="3">
        <f>AND(
  $E11,
  $M11,
  $T11,
  $O11,
  $N11,
  $P11,
  NOT($F11),
  NOT($L11)
)</f>
        <v/>
      </c>
      <c r="I11" s="3">
        <f>IF($E11, "Has Syntax", "No Syntax") &amp; " &amp; " &amp; IF($M11, "Requires Parsing", "No Parsing Neede") &amp; " &amp; " &amp; IF($T11, "Describes the thing", "Is the Thing") &amp; " &amp; " &amp; IF($O11, "Has Linear Decoding Pressure", "No Decoding Pressure") &amp; " &amp; " &amp; IF($N11, "Resolves to AST", "No AST") &amp; ", " &amp;
"  " &amp; IF($P11, "Is Stable Ontology", "Not 'Ontology'") &amp; "\n AND " &amp;
"  " &amp; IF($F11, "Can Be Held", "Can't Be Held") &amp; ", " &amp;
"  " &amp; IF($L11, "Has Identity", "Has no Identity")</f>
        <v/>
      </c>
      <c r="J11" s="3">
        <f>IF(NOT($H11 = $C11),
  $B11 &amp; " " &amp; IF($H11, "Is", "Isn't") &amp; " a Family Feud Language, but " &amp; 
  IF($C11, "Is", "Is Not") &amp; " marked as a 'Language Candidate.'") &amp; IF($V11, " - Open World vs. Closed World Conflict.")</f>
        <v/>
      </c>
      <c r="K11" s="2" t="inlineStr">
        <is>
          <t>Physical Object</t>
        </is>
      </c>
      <c r="L11" s="2" t="b">
        <v>1</v>
      </c>
      <c r="M11" s="2" t="b">
        <v>0</v>
      </c>
      <c r="N11" s="2" t="b">
        <v>0</v>
      </c>
      <c r="O11" s="2" t="b">
        <v>1</v>
      </c>
      <c r="P11" s="2" t="b">
        <v>0</v>
      </c>
      <c r="Q11" s="2" t="b">
        <v>0</v>
      </c>
      <c r="R11" s="2" t="b">
        <v>0</v>
      </c>
      <c r="S11" s="2" t="b">
        <v>1</v>
      </c>
      <c r="T11" s="3">
        <f>$U11 &gt; 1</f>
        <v/>
      </c>
      <c r="U11" s="2" t="n">
        <v>1</v>
      </c>
      <c r="V11" s="3">
        <f>AND($R11, $S11)</f>
        <v/>
      </c>
      <c r="W11" s="2" t="inlineStr">
        <is>
          <t>N/A</t>
        </is>
      </c>
      <c r="X11" s="3">
        <f>IF($U11 = 1, "IsMirrorOf", "IsDescriptionOf")</f>
        <v/>
      </c>
      <c r="Y11" s="2" t="inlineStr">
        <is>
          <t>NA</t>
        </is>
      </c>
      <c r="Z11" s="2" t="n">
        <v>10</v>
      </c>
    </row>
    <row r="12">
      <c r="A12" s="2" t="inlineStr">
        <is>
          <t>python</t>
        </is>
      </c>
      <c r="B12" s="2" t="inlineStr">
        <is>
          <t>Python</t>
        </is>
      </c>
      <c r="C12" s="2" t="b">
        <v>1</v>
      </c>
      <c r="D12" s="3">
        <f>$E12 = TRUE()</f>
        <v/>
      </c>
      <c r="E12" s="2" t="b">
        <v>1</v>
      </c>
      <c r="F12" s="2" t="b">
        <v>0</v>
      </c>
      <c r="G12" s="3">
        <f>"Is " &amp; $B12 &amp; " a language?"</f>
        <v/>
      </c>
      <c r="H12" s="3">
        <f>AND(
  $E12,
  $M12,
  $T12,
  $O12,
  $N12,
  $P12,
  NOT($F12),
  NOT($L12)
)</f>
        <v/>
      </c>
      <c r="I12" s="3">
        <f>IF($E12, "Has Syntax", "No Syntax") &amp; " &amp; " &amp; IF($M12, "Requires Parsing", "No Parsing Neede") &amp; " &amp; " &amp; IF($T12, "Describes the thing", "Is the Thing") &amp; " &amp; " &amp; IF($O12, "Has Linear Decoding Pressure", "No Decoding Pressure") &amp; " &amp; " &amp; IF($N12, "Resolves to AST", "No AST") &amp; ", " &amp;
"  " &amp; IF($P12, "Is Stable Ontology", "Not 'Ontology'") &amp; "\n AND " &amp;
"  " &amp; IF($F12, "Can Be Held", "Can't Be Held") &amp; ", " &amp;
"  " &amp; IF($L12, "Has Identity", "Has no Identity")</f>
        <v/>
      </c>
      <c r="J12" s="3">
        <f>IF(NOT($H12 = $C12),
  $B12 &amp; " " &amp; IF($H12, "Is", "Isn't") &amp; " a Family Feud Language, but " &amp; 
  IF($C12, "Is", "Is Not") &amp; " marked as a 'Language Candidate.'") &amp; IF($V12, " - Open World vs. Closed World Conflict.")</f>
        <v/>
      </c>
      <c r="K12" s="2" t="inlineStr">
        <is>
          <t>Formal Language</t>
        </is>
      </c>
      <c r="L12" s="2" t="b">
        <v>0</v>
      </c>
      <c r="M12" s="2" t="b">
        <v>1</v>
      </c>
      <c r="N12" s="2" t="b">
        <v>1</v>
      </c>
      <c r="O12" s="2" t="b">
        <v>1</v>
      </c>
      <c r="P12" s="2" t="b">
        <v>1</v>
      </c>
      <c r="Q12" s="2" t="b">
        <v>0</v>
      </c>
      <c r="R12" s="2" t="b">
        <v>1</v>
      </c>
      <c r="S12" s="2" t="b">
        <v>0</v>
      </c>
      <c r="T12" s="3">
        <f>$U12 &gt; 1</f>
        <v/>
      </c>
      <c r="U12" s="2" t="n">
        <v>2</v>
      </c>
      <c r="V12" s="3">
        <f>AND($R12, $S12)</f>
        <v/>
      </c>
      <c r="W12" s="2" t="inlineStr">
        <is>
          <t>OneDimensionalSymbolic</t>
        </is>
      </c>
      <c r="X12" s="3">
        <f>IF($U12 = 1, "IsMirrorOf", "IsDescriptionOf")</f>
        <v/>
      </c>
      <c r="Y12" s="2" t="inlineStr">
        <is>
          <t>M1</t>
        </is>
      </c>
      <c r="Z12" s="2" t="n">
        <v>11</v>
      </c>
    </row>
    <row r="13">
      <c r="A13" s="2" t="inlineStr">
        <is>
          <t>a-running-app</t>
        </is>
      </c>
      <c r="B13" s="2" t="inlineStr">
        <is>
          <t xml:space="preserve">A Running App </t>
        </is>
      </c>
      <c r="C13" s="2" t="b">
        <v>0</v>
      </c>
      <c r="D13" s="3">
        <f>$E13 = TRUE()</f>
        <v/>
      </c>
      <c r="E13" s="2" t="b">
        <v>0</v>
      </c>
      <c r="F13" s="2" t="b">
        <v>0</v>
      </c>
      <c r="G13" s="3">
        <f>"Is " &amp; $B13 &amp; " a language?"</f>
        <v/>
      </c>
      <c r="H13" s="3">
        <f>AND(
  $E13,
  $M13,
  $T13,
  $O13,
  $N13,
  $P13,
  NOT($F13),
  NOT($L13)
)</f>
        <v/>
      </c>
      <c r="I13" s="3">
        <f>IF($E13, "Has Syntax", "No Syntax") &amp; " &amp; " &amp; IF($M13, "Requires Parsing", "No Parsing Neede") &amp; " &amp; " &amp; IF($T13, "Describes the thing", "Is the Thing") &amp; " &amp; " &amp; IF($O13, "Has Linear Decoding Pressure", "No Decoding Pressure") &amp; " &amp; " &amp; IF($N13, "Resolves to AST", "No AST") &amp; ", " &amp;
"  " &amp; IF($P13, "Is Stable Ontology", "Not 'Ontology'") &amp; "\n AND " &amp;
"  " &amp; IF($F13, "Can Be Held", "Can't Be Held") &amp; ", " &amp;
"  " &amp; IF($L13, "Has Identity", "Has no Identity")</f>
        <v/>
      </c>
      <c r="J13" s="3">
        <f>IF(NOT($H13 = $C13),
  $B13 &amp; " " &amp; IF($H13, "Is", "Isn't") &amp; " a Family Feud Language, but " &amp; 
  IF($C13, "Is", "Is Not") &amp; " marked as a 'Language Candidate.'") &amp; IF($V13, " - Open World vs. Closed World Conflict.")</f>
        <v/>
      </c>
      <c r="K13" s="2" t="inlineStr">
        <is>
          <t>Running Software</t>
        </is>
      </c>
      <c r="L13" s="2" t="b">
        <v>1</v>
      </c>
      <c r="M13" s="2" t="b">
        <v>1</v>
      </c>
      <c r="N13" s="2" t="b">
        <v>0</v>
      </c>
      <c r="O13" s="2" t="b">
        <v>1</v>
      </c>
      <c r="P13" s="2" t="b">
        <v>0</v>
      </c>
      <c r="Q13" s="2" t="b">
        <v>1</v>
      </c>
      <c r="R13" s="2" t="b">
        <v>0</v>
      </c>
      <c r="S13" s="2" t="b">
        <v>1</v>
      </c>
      <c r="T13" s="3">
        <f>$U13 &gt; 1</f>
        <v/>
      </c>
      <c r="U13" s="2" t="n">
        <v>1</v>
      </c>
      <c r="V13" s="3">
        <f>AND($R13, $S13)</f>
        <v/>
      </c>
      <c r="W13" s="2" t="inlineStr">
        <is>
          <t>MultiDimensionalNonSymbolic</t>
        </is>
      </c>
      <c r="X13" s="3">
        <f>IF($U13 = 1, "IsMirrorOf", "IsDescriptionOf")</f>
        <v/>
      </c>
      <c r="Y13" s="2" t="inlineStr">
        <is>
          <t>M4</t>
        </is>
      </c>
      <c r="Z13" s="2" t="n">
        <v>12</v>
      </c>
    </row>
    <row r="14">
      <c r="A14" s="2" t="inlineStr">
        <is>
          <t>an-xlsx-doc</t>
        </is>
      </c>
      <c r="B14" s="2" t="inlineStr">
        <is>
          <t>An XLSX Doc</t>
        </is>
      </c>
      <c r="C14" s="2" t="b">
        <v>1</v>
      </c>
      <c r="D14" s="3">
        <f>$E14 = TRUE()</f>
        <v/>
      </c>
      <c r="E14" s="2" t="b">
        <v>1</v>
      </c>
      <c r="F14" s="2" t="b">
        <v>0</v>
      </c>
      <c r="G14" s="3">
        <f>"Is " &amp; $B14 &amp; " a language?"</f>
        <v/>
      </c>
      <c r="H14" s="3">
        <f>AND(
  $E14,
  $M14,
  $T14,
  $O14,
  $N14,
  $P14,
  NOT($F14),
  NOT($L14)
)</f>
        <v/>
      </c>
      <c r="I14" s="3">
        <f>IF($E14, "Has Syntax", "No Syntax") &amp; " &amp; " &amp; IF($M14, "Requires Parsing", "No Parsing Neede") &amp; " &amp; " &amp; IF($T14, "Describes the thing", "Is the Thing") &amp; " &amp; " &amp; IF($O14, "Has Linear Decoding Pressure", "No Decoding Pressure") &amp; " &amp; " &amp; IF($N14, "Resolves to AST", "No AST") &amp; ", " &amp;
"  " &amp; IF($P14, "Is Stable Ontology", "Not 'Ontology'") &amp; "\n AND " &amp;
"  " &amp; IF($F14, "Can Be Held", "Can't Be Held") &amp; ", " &amp;
"  " &amp; IF($L14, "Has Identity", "Has no Identity")</f>
        <v/>
      </c>
      <c r="J14" s="3">
        <f>IF(NOT($H14 = $C14),
  $B14 &amp; " " &amp; IF($H14, "Is", "Isn't") &amp; " a Family Feud Language, but " &amp; 
  IF($C14, "Is", "Is Not") &amp; " marked as a 'Language Candidate.'") &amp; IF($V14, " - Open World vs. Closed World Conflict.")</f>
        <v/>
      </c>
      <c r="K14" s="2" t="inlineStr">
        <is>
          <t>Formal Language</t>
        </is>
      </c>
      <c r="L14" s="2" t="b">
        <v>0</v>
      </c>
      <c r="M14" s="2" t="b">
        <v>1</v>
      </c>
      <c r="N14" s="2" t="b">
        <v>1</v>
      </c>
      <c r="O14" s="2" t="b">
        <v>1</v>
      </c>
      <c r="P14" s="2" t="b">
        <v>1</v>
      </c>
      <c r="Q14" s="2" t="b">
        <v>0</v>
      </c>
      <c r="R14" s="2" t="b">
        <v>0</v>
      </c>
      <c r="S14" s="2" t="b">
        <v>0</v>
      </c>
      <c r="T14" s="3">
        <f>$U14 &gt; 1</f>
        <v/>
      </c>
      <c r="U14" s="2" t="n">
        <v>2</v>
      </c>
      <c r="V14" s="3">
        <f>AND($R14, $S14)</f>
        <v/>
      </c>
      <c r="W14" s="2" t="inlineStr">
        <is>
          <t>OneDimensionalSymbolic</t>
        </is>
      </c>
      <c r="X14" s="3">
        <f>IF($U14 = 1, "IsMirrorOf", "IsDescriptionOf")</f>
        <v/>
      </c>
      <c r="Y14" s="2" t="inlineStr">
        <is>
          <t>M2</t>
        </is>
      </c>
      <c r="Z14" s="2" t="n">
        <v>13</v>
      </c>
    </row>
    <row r="15">
      <c r="A15" s="2" t="inlineStr">
        <is>
          <t>xlsx-editing</t>
        </is>
      </c>
      <c r="B15" s="2" t="inlineStr">
        <is>
          <t>XLSX - Editing</t>
        </is>
      </c>
      <c r="C15" s="2" t="b">
        <v>0</v>
      </c>
      <c r="D15" s="3">
        <f>$E15 = TRUE()</f>
        <v/>
      </c>
      <c r="E15" s="2" t="b">
        <v>0</v>
      </c>
      <c r="F15" s="2" t="b">
        <v>0</v>
      </c>
      <c r="G15" s="3">
        <f>"Is " &amp; $B15 &amp; " a language?"</f>
        <v/>
      </c>
      <c r="H15" s="3">
        <f>AND(
  $E15,
  $M15,
  $T15,
  $O15,
  $N15,
  $P15,
  NOT($F15),
  NOT($L15)
)</f>
        <v/>
      </c>
      <c r="I15" s="3">
        <f>IF($E15, "Has Syntax", "No Syntax") &amp; " &amp; " &amp; IF($M15, "Requires Parsing", "No Parsing Neede") &amp; " &amp; " &amp; IF($T15, "Describes the thing", "Is the Thing") &amp; " &amp; " &amp; IF($O15, "Has Linear Decoding Pressure", "No Decoding Pressure") &amp; " &amp; " &amp; IF($N15, "Resolves to AST", "No AST") &amp; ", " &amp;
"  " &amp; IF($P15, "Is Stable Ontology", "Not 'Ontology'") &amp; "\n AND " &amp;
"  " &amp; IF($F15, "Can Be Held", "Can't Be Held") &amp; ", " &amp;
"  " &amp; IF($L15, "Has Identity", "Has no Identity")</f>
        <v/>
      </c>
      <c r="J15" s="3">
        <f>IF(NOT($H15 = $C15),
  $B15 &amp; " " &amp; IF($H15, "Is", "Isn't") &amp; " a Family Feud Language, but " &amp; 
  IF($C15, "Is", "Is Not") &amp; " marked as a 'Language Candidate.'") &amp; IF($V15, " - Open World vs. Closed World Conflict.")</f>
        <v/>
      </c>
      <c r="K15" s="2" t="inlineStr">
        <is>
          <t>Running Software</t>
        </is>
      </c>
      <c r="L15" s="2" t="b">
        <v>0</v>
      </c>
      <c r="M15" s="2" t="b">
        <v>0</v>
      </c>
      <c r="N15" s="2" t="b">
        <v>1</v>
      </c>
      <c r="O15" s="2" t="b">
        <v>0</v>
      </c>
      <c r="P15" s="2" t="b">
        <v>0</v>
      </c>
      <c r="Q15" s="2" t="b">
        <v>1</v>
      </c>
      <c r="R15" s="2" t="b">
        <v>0</v>
      </c>
      <c r="S15" s="2" t="b">
        <v>0</v>
      </c>
      <c r="T15" s="3">
        <f>$U15 &gt; 1</f>
        <v/>
      </c>
      <c r="U15" s="2" t="n">
        <v>1</v>
      </c>
      <c r="V15" s="3">
        <f>AND($R15, $S15)</f>
        <v/>
      </c>
      <c r="W15" s="2" t="inlineStr">
        <is>
          <t>MultiDimensionalNonSymbolic</t>
        </is>
      </c>
      <c r="X15" s="3">
        <f>IF($U15 = 1, "IsMirrorOf", "IsDescriptionOf")</f>
        <v/>
      </c>
      <c r="Y15" s="2" t="inlineStr">
        <is>
          <t>M4</t>
        </is>
      </c>
      <c r="Z15" s="2" t="n">
        <v>14</v>
      </c>
    </row>
    <row r="16">
      <c r="A16" s="2" t="inlineStr">
        <is>
          <t>an-docx-doc</t>
        </is>
      </c>
      <c r="B16" s="2" t="inlineStr">
        <is>
          <t>An DOCX Doc</t>
        </is>
      </c>
      <c r="C16" s="2" t="b">
        <v>1</v>
      </c>
      <c r="D16" s="3">
        <f>$E16 = TRUE()</f>
        <v/>
      </c>
      <c r="E16" s="2" t="b">
        <v>1</v>
      </c>
      <c r="F16" s="2" t="b">
        <v>0</v>
      </c>
      <c r="G16" s="3">
        <f>"Is " &amp; $B16 &amp; " a language?"</f>
        <v/>
      </c>
      <c r="H16" s="3">
        <f>AND(
  $E16,
  $M16,
  $T16,
  $O16,
  $N16,
  $P16,
  NOT($F16),
  NOT($L16)
)</f>
        <v/>
      </c>
      <c r="I16" s="3">
        <f>IF($E16, "Has Syntax", "No Syntax") &amp; " &amp; " &amp; IF($M16, "Requires Parsing", "No Parsing Neede") &amp; " &amp; " &amp; IF($T16, "Describes the thing", "Is the Thing") &amp; " &amp; " &amp; IF($O16, "Has Linear Decoding Pressure", "No Decoding Pressure") &amp; " &amp; " &amp; IF($N16, "Resolves to AST", "No AST") &amp; ", " &amp;
"  " &amp; IF($P16, "Is Stable Ontology", "Not 'Ontology'") &amp; "\n AND " &amp;
"  " &amp; IF($F16, "Can Be Held", "Can't Be Held") &amp; ", " &amp;
"  " &amp; IF($L16, "Has Identity", "Has no Identity")</f>
        <v/>
      </c>
      <c r="J16" s="3">
        <f>IF(NOT($H16 = $C16),
  $B16 &amp; " " &amp; IF($H16, "Is", "Isn't") &amp; " a Family Feud Language, but " &amp; 
  IF($C16, "Is", "Is Not") &amp; " marked as a 'Language Candidate.'") &amp; IF($V16, " - Open World vs. Closed World Conflict.")</f>
        <v/>
      </c>
      <c r="K16" s="2" t="inlineStr">
        <is>
          <t>Formal Language</t>
        </is>
      </c>
      <c r="L16" s="2" t="b">
        <v>0</v>
      </c>
      <c r="M16" s="2" t="b">
        <v>1</v>
      </c>
      <c r="N16" s="2" t="b">
        <v>1</v>
      </c>
      <c r="O16" s="2" t="b">
        <v>1</v>
      </c>
      <c r="P16" s="2" t="b">
        <v>1</v>
      </c>
      <c r="Q16" s="2" t="b">
        <v>0</v>
      </c>
      <c r="R16" s="2" t="b">
        <v>0</v>
      </c>
      <c r="S16" s="2" t="b">
        <v>0</v>
      </c>
      <c r="T16" s="3">
        <f>$U16 &gt; 1</f>
        <v/>
      </c>
      <c r="U16" s="2" t="n">
        <v>2</v>
      </c>
      <c r="V16" s="3">
        <f>AND($R16, $S16)</f>
        <v/>
      </c>
      <c r="W16" s="2" t="inlineStr">
        <is>
          <t>OneDimensionalSymbolic</t>
        </is>
      </c>
      <c r="X16" s="3">
        <f>IF($U16 = 1, "IsMirrorOf", "IsDescriptionOf")</f>
        <v/>
      </c>
      <c r="Y16" s="2" t="inlineStr">
        <is>
          <t>M2</t>
        </is>
      </c>
      <c r="Z16" s="2" t="n">
        <v>15</v>
      </c>
    </row>
    <row r="17">
      <c r="A17" s="2" t="inlineStr">
        <is>
          <t>docx-editing</t>
        </is>
      </c>
      <c r="B17" s="2" t="inlineStr">
        <is>
          <t>DOCX - Editing</t>
        </is>
      </c>
      <c r="C17" s="2" t="b">
        <v>0</v>
      </c>
      <c r="D17" s="3">
        <f>$E17 = TRUE()</f>
        <v/>
      </c>
      <c r="E17" s="2" t="b">
        <v>0</v>
      </c>
      <c r="F17" s="2" t="b">
        <v>0</v>
      </c>
      <c r="G17" s="3">
        <f>"Is " &amp; $B17 &amp; " a language?"</f>
        <v/>
      </c>
      <c r="H17" s="3">
        <f>AND(
  $E17,
  $M17,
  $T17,
  $O17,
  $N17,
  $P17,
  NOT($F17),
  NOT($L17)
)</f>
        <v/>
      </c>
      <c r="I17" s="3">
        <f>IF($E17, "Has Syntax", "No Syntax") &amp; " &amp; " &amp; IF($M17, "Requires Parsing", "No Parsing Neede") &amp; " &amp; " &amp; IF($T17, "Describes the thing", "Is the Thing") &amp; " &amp; " &amp; IF($O17, "Has Linear Decoding Pressure", "No Decoding Pressure") &amp; " &amp; " &amp; IF($N17, "Resolves to AST", "No AST") &amp; ", " &amp;
"  " &amp; IF($P17, "Is Stable Ontology", "Not 'Ontology'") &amp; "\n AND " &amp;
"  " &amp; IF($F17, "Can Be Held", "Can't Be Held") &amp; ", " &amp;
"  " &amp; IF($L17, "Has Identity", "Has no Identity")</f>
        <v/>
      </c>
      <c r="J17" s="3">
        <f>IF(NOT($H17 = $C17),
  $B17 &amp; " " &amp; IF($H17, "Is", "Isn't") &amp; " a Family Feud Language, but " &amp; 
  IF($C17, "Is", "Is Not") &amp; " marked as a 'Language Candidate.'") &amp; IF($V17, " - Open World vs. Closed World Conflict.")</f>
        <v/>
      </c>
      <c r="K17" s="2" t="inlineStr">
        <is>
          <t>Running Software</t>
        </is>
      </c>
      <c r="L17" s="2" t="b">
        <v>0</v>
      </c>
      <c r="M17" s="2" t="b">
        <v>0</v>
      </c>
      <c r="N17" s="2" t="b">
        <v>0</v>
      </c>
      <c r="O17" s="2" t="b">
        <v>0</v>
      </c>
      <c r="P17" s="2" t="b">
        <v>1</v>
      </c>
      <c r="Q17" s="2" t="b">
        <v>1</v>
      </c>
      <c r="R17" s="2" t="b">
        <v>0</v>
      </c>
      <c r="S17" s="2" t="b">
        <v>0</v>
      </c>
      <c r="T17" s="3">
        <f>$U17 &gt; 1</f>
        <v/>
      </c>
      <c r="U17" s="2" t="n">
        <v>1</v>
      </c>
      <c r="V17" s="3">
        <f>AND($R17, $S17)</f>
        <v/>
      </c>
      <c r="W17" s="2" t="inlineStr">
        <is>
          <t>MultiDimensionalNonSymbolic</t>
        </is>
      </c>
      <c r="X17" s="3">
        <f>IF($U17 = 1, "IsMirrorOf", "IsDescriptionOf")</f>
        <v/>
      </c>
      <c r="Y17" s="2" t="inlineStr">
        <is>
          <t>M4</t>
        </is>
      </c>
      <c r="Z17" s="2" t="n">
        <v>16</v>
      </c>
    </row>
    <row r="18">
      <c r="A18" s="2" t="inlineStr">
        <is>
          <t>owl-rdf-graphql-generally</t>
        </is>
      </c>
      <c r="B18" s="2" t="inlineStr">
        <is>
          <t>OWL/RDF/GraphQL/... generally</t>
        </is>
      </c>
      <c r="C18" s="2" t="b">
        <v>1</v>
      </c>
      <c r="D18" s="3">
        <f>$E18 = TRUE()</f>
        <v/>
      </c>
      <c r="E18" s="2" t="b">
        <v>1</v>
      </c>
      <c r="F18" s="2" t="b">
        <v>0</v>
      </c>
      <c r="G18" s="3">
        <f>"Is " &amp; $B18 &amp; " a language?"</f>
        <v/>
      </c>
      <c r="H18" s="3">
        <f>AND(
  $E18,
  $M18,
  $T18,
  $O18,
  $N18,
  $P18,
  NOT($F18),
  NOT($L18)
)</f>
        <v/>
      </c>
      <c r="I18" s="3">
        <f>IF($E18, "Has Syntax", "No Syntax") &amp; " &amp; " &amp; IF($M18, "Requires Parsing", "No Parsing Neede") &amp; " &amp; " &amp; IF($T18, "Describes the thing", "Is the Thing") &amp; " &amp; " &amp; IF($O18, "Has Linear Decoding Pressure", "No Decoding Pressure") &amp; " &amp; " &amp; IF($N18, "Resolves to AST", "No AST") &amp; ", " &amp;
"  " &amp; IF($P18, "Is Stable Ontology", "Not 'Ontology'") &amp; "\n AND " &amp;
"  " &amp; IF($F18, "Can Be Held", "Can't Be Held") &amp; ", " &amp;
"  " &amp; IF($L18, "Has Identity", "Has no Identity")</f>
        <v/>
      </c>
      <c r="J18" s="3">
        <f>IF(NOT($H18 = $C18),
  $B18 &amp; " " &amp; IF($H18, "Is", "Isn't") &amp; " a Family Feud Language, but " &amp; 
  IF($C18, "Is", "Is Not") &amp; " marked as a 'Language Candidate.'") &amp; IF($V18, " - Open World vs. Closed World Conflict.")</f>
        <v/>
      </c>
      <c r="K18" s="2" t="inlineStr">
        <is>
          <t>Natural Language</t>
        </is>
      </c>
      <c r="L18" s="2" t="b">
        <v>0</v>
      </c>
      <c r="M18" s="2" t="b">
        <v>1</v>
      </c>
      <c r="N18" s="2" t="b">
        <v>1</v>
      </c>
      <c r="O18" s="2" t="b">
        <v>1</v>
      </c>
      <c r="P18" s="2" t="b">
        <v>1</v>
      </c>
      <c r="Q18" s="2" t="b">
        <v>0</v>
      </c>
      <c r="R18" s="2" t="b">
        <v>0</v>
      </c>
      <c r="S18" s="2" t="b">
        <v>1</v>
      </c>
      <c r="T18" s="3">
        <f>$U18 &gt; 1</f>
        <v/>
      </c>
      <c r="U18" s="2" t="n">
        <v>2</v>
      </c>
      <c r="V18" s="3">
        <f>AND($R18, $S18)</f>
        <v/>
      </c>
      <c r="W18" s="2" t="inlineStr">
        <is>
          <t>OneDimensionalSymbolic</t>
        </is>
      </c>
      <c r="X18" s="3">
        <f>IF($U18 = 1, "IsMirrorOf", "IsDescriptionOf")</f>
        <v/>
      </c>
      <c r="Y18" s="2" t="inlineStr">
        <is>
          <t>M2</t>
        </is>
      </c>
      <c r="Z18" s="2" t="n">
        <v>17</v>
      </c>
    </row>
    <row r="19">
      <c r="A19" s="2" t="inlineStr">
        <is>
          <t>a-thunderstorm</t>
        </is>
      </c>
      <c r="B19" s="2" t="inlineStr">
        <is>
          <t>A Thunderstorm</t>
        </is>
      </c>
      <c r="C19" s="2" t="b">
        <v>0</v>
      </c>
      <c r="D19" s="3">
        <f>$E19 = TRUE()</f>
        <v/>
      </c>
      <c r="E19" s="2" t="b">
        <v>0</v>
      </c>
      <c r="F19" s="2" t="b">
        <v>1</v>
      </c>
      <c r="G19" s="3">
        <f>"Is " &amp; $B19 &amp; " a language?"</f>
        <v/>
      </c>
      <c r="H19" s="3">
        <f>AND(
  $E19,
  $M19,
  $T19,
  $O19,
  $N19,
  $P19,
  NOT($F19),
  NOT($L19)
)</f>
        <v/>
      </c>
      <c r="I19" s="3">
        <f>IF($E19, "Has Syntax", "No Syntax") &amp; " &amp; " &amp; IF($M19, "Requires Parsing", "No Parsing Neede") &amp; " &amp; " &amp; IF($T19, "Describes the thing", "Is the Thing") &amp; " &amp; " &amp; IF($O19, "Has Linear Decoding Pressure", "No Decoding Pressure") &amp; " &amp; " &amp; IF($N19, "Resolves to AST", "No AST") &amp; ", " &amp;
"  " &amp; IF($P19, "Is Stable Ontology", "Not 'Ontology'") &amp; "\n AND " &amp;
"  " &amp; IF($F19, "Can Be Held", "Can't Be Held") &amp; ", " &amp;
"  " &amp; IF($L19, "Has Identity", "Has no Identity")</f>
        <v/>
      </c>
      <c r="J19" s="3">
        <f>IF(NOT($H19 = $C19),
  $B19 &amp; " " &amp; IF($H19, "Is", "Isn't") &amp; " a Family Feud Language, but " &amp; 
  IF($C19, "Is", "Is Not") &amp; " marked as a 'Language Candidate.'") &amp; IF($V19, " - Open World vs. Closed World Conflict.")</f>
        <v/>
      </c>
      <c r="K19" s="2" t="inlineStr">
        <is>
          <t>Physical event</t>
        </is>
      </c>
      <c r="L19" s="2" t="b">
        <v>1</v>
      </c>
      <c r="M19" s="2" t="b">
        <v>1</v>
      </c>
      <c r="N19" s="2" t="b">
        <v>1</v>
      </c>
      <c r="O19" s="2" t="b">
        <v>0</v>
      </c>
      <c r="P19" s="2" t="b">
        <v>0</v>
      </c>
      <c r="Q19" s="2" t="b">
        <v>0</v>
      </c>
      <c r="R19" s="2" t="b">
        <v>0</v>
      </c>
      <c r="S19" s="2" t="b">
        <v>0</v>
      </c>
      <c r="T19" s="3">
        <f>$U19 &gt; 1</f>
        <v/>
      </c>
      <c r="U19" s="2" t="n">
        <v>1</v>
      </c>
      <c r="V19" s="3">
        <f>AND($R19, $S19)</f>
        <v/>
      </c>
      <c r="W19" s="2" t="inlineStr">
        <is>
          <t>N/A</t>
        </is>
      </c>
      <c r="X19" s="3">
        <f>IF($U19 = 1, "IsMirrorOf", "IsDescriptionOf")</f>
        <v/>
      </c>
      <c r="Y19" s="2" t="inlineStr">
        <is>
          <t>NA</t>
        </is>
      </c>
      <c r="Z19" s="2" t="n">
        <v>18</v>
      </c>
    </row>
    <row r="20">
      <c r="A20" s="2" t="inlineStr">
        <is>
          <t>a-uml-file</t>
        </is>
      </c>
      <c r="B20" s="2" t="inlineStr">
        <is>
          <t>A UML File</t>
        </is>
      </c>
      <c r="C20" s="2" t="b">
        <v>1</v>
      </c>
      <c r="D20" s="3">
        <f>$E20 = TRUE()</f>
        <v/>
      </c>
      <c r="E20" s="2" t="b">
        <v>1</v>
      </c>
      <c r="F20" s="2" t="b">
        <v>0</v>
      </c>
      <c r="G20" s="3">
        <f>"Is " &amp; $B20 &amp; " a language?"</f>
        <v/>
      </c>
      <c r="H20" s="3">
        <f>AND(
  $E20,
  $M20,
  $T20,
  $O20,
  $N20,
  $P20,
  NOT($F20),
  NOT($L20)
)</f>
        <v/>
      </c>
      <c r="I20" s="3">
        <f>IF($E20, "Has Syntax", "No Syntax") &amp; " &amp; " &amp; IF($M20, "Requires Parsing", "No Parsing Neede") &amp; " &amp; " &amp; IF($T20, "Describes the thing", "Is the Thing") &amp; " &amp; " &amp; IF($O20, "Has Linear Decoding Pressure", "No Decoding Pressure") &amp; " &amp; " &amp; IF($N20, "Resolves to AST", "No AST") &amp; ", " &amp;
"  " &amp; IF($P20, "Is Stable Ontology", "Not 'Ontology'") &amp; "\n AND " &amp;
"  " &amp; IF($F20, "Can Be Held", "Can't Be Held") &amp; ", " &amp;
"  " &amp; IF($L20, "Has Identity", "Has no Identity")</f>
        <v/>
      </c>
      <c r="J20" s="3">
        <f>IF(NOT($H20 = $C20),
  $B20 &amp; " " &amp; IF($H20, "Is", "Isn't") &amp; " a Family Feud Language, but " &amp; 
  IF($C20, "Is", "Is Not") &amp; " marked as a 'Language Candidate.'") &amp; IF($V20, " - Open World vs. Closed World Conflict.")</f>
        <v/>
      </c>
      <c r="K20" s="2" t="inlineStr">
        <is>
          <t>Formal Language</t>
        </is>
      </c>
      <c r="L20" s="2" t="b">
        <v>0</v>
      </c>
      <c r="M20" s="2" t="b">
        <v>1</v>
      </c>
      <c r="N20" s="2" t="b">
        <v>1</v>
      </c>
      <c r="O20" s="2" t="b">
        <v>1</v>
      </c>
      <c r="P20" s="2" t="b">
        <v>1</v>
      </c>
      <c r="Q20" s="2" t="b">
        <v>0</v>
      </c>
      <c r="R20" s="2" t="b">
        <v>0</v>
      </c>
      <c r="S20" s="2" t="b">
        <v>0</v>
      </c>
      <c r="T20" s="3">
        <f>$U20 &gt; 1</f>
        <v/>
      </c>
      <c r="U20" s="2" t="n">
        <v>2</v>
      </c>
      <c r="V20" s="3">
        <f>AND($R20, $S20)</f>
        <v/>
      </c>
      <c r="W20" s="2" t="inlineStr">
        <is>
          <t>OneDimensionalSymbolic</t>
        </is>
      </c>
      <c r="X20" s="3">
        <f>IF($U20 = 1, "IsMirrorOf", "IsDescriptionOf")</f>
        <v/>
      </c>
      <c r="Y20" s="2" t="inlineStr">
        <is>
          <t>M2</t>
        </is>
      </c>
      <c r="Z20" s="2" t="n">
        <v>23</v>
      </c>
    </row>
    <row r="21">
      <c r="A21" s="2" t="inlineStr">
        <is>
          <t>the-mona-lisa</t>
        </is>
      </c>
      <c r="B21" s="2" t="inlineStr">
        <is>
          <t>The Mona Lisa</t>
        </is>
      </c>
      <c r="C21" s="2" t="b">
        <v>0</v>
      </c>
      <c r="D21" s="3">
        <f>$E21 = TRUE()</f>
        <v/>
      </c>
      <c r="E21" s="2" t="b">
        <v>0</v>
      </c>
      <c r="F21" s="2" t="b">
        <v>1</v>
      </c>
      <c r="G21" s="3">
        <f>"Is " &amp; $B21 &amp; " a language?"</f>
        <v/>
      </c>
      <c r="H21" s="3">
        <f>AND(
  $E21,
  $M21,
  $T21,
  $O21,
  $N21,
  $P21,
  NOT($F21),
  NOT($L21)
)</f>
        <v/>
      </c>
      <c r="I21" s="3">
        <f>IF($E21, "Has Syntax", "No Syntax") &amp; " &amp; " &amp; IF($M21, "Requires Parsing", "No Parsing Neede") &amp; " &amp; " &amp; IF($T21, "Describes the thing", "Is the Thing") &amp; " &amp; " &amp; IF($O21, "Has Linear Decoding Pressure", "No Decoding Pressure") &amp; " &amp; " &amp; IF($N21, "Resolves to AST", "No AST") &amp; ", " &amp;
"  " &amp; IF($P21, "Is Stable Ontology", "Not 'Ontology'") &amp; "\n AND " &amp;
"  " &amp; IF($F21, "Can Be Held", "Can't Be Held") &amp; ", " &amp;
"  " &amp; IF($L21, "Has Identity", "Has no Identity")</f>
        <v/>
      </c>
      <c r="J21" s="3">
        <f>IF(NOT($H21 = $C21),
  $B21 &amp; " " &amp; IF($H21, "Is", "Isn't") &amp; " a Family Feud Language, but " &amp; 
  IF($C21, "Is", "Is Not") &amp; " marked as a 'Language Candidate.'") &amp; IF($V21, " - Open World vs. Closed World Conflict.")</f>
        <v/>
      </c>
      <c r="K21" s="2" t="inlineStr">
        <is>
          <t>Physical Object</t>
        </is>
      </c>
      <c r="L21" s="2" t="b">
        <v>1</v>
      </c>
      <c r="M21" s="2" t="b">
        <v>0</v>
      </c>
      <c r="N21" s="2" t="b">
        <v>0</v>
      </c>
      <c r="O21" s="2" t="b">
        <v>0</v>
      </c>
      <c r="P21" s="2" t="b">
        <v>1</v>
      </c>
      <c r="Q21" s="2" t="b">
        <v>0</v>
      </c>
      <c r="R21" s="2" t="b">
        <v>0</v>
      </c>
      <c r="S21" s="2" t="b">
        <v>0</v>
      </c>
      <c r="T21" s="3">
        <f>$U21 &gt; 1</f>
        <v/>
      </c>
      <c r="U21" s="2" t="n">
        <v>1</v>
      </c>
      <c r="V21" s="3">
        <f>AND($R21, $S21)</f>
        <v/>
      </c>
      <c r="W21" s="2" t="inlineStr">
        <is>
          <t>N/A</t>
        </is>
      </c>
      <c r="X21" s="3">
        <f>IF($U21 = 1, "IsMirrorOf", "IsDescriptionOf")</f>
        <v/>
      </c>
      <c r="Y21" s="2" t="inlineStr">
        <is>
          <t>NA</t>
        </is>
      </c>
      <c r="Z21" s="2" t="n">
        <v>20</v>
      </c>
    </row>
    <row r="22">
      <c r="A22" s="2" t="inlineStr">
        <is>
          <t>binary-code</t>
        </is>
      </c>
      <c r="B22" s="2" t="inlineStr">
        <is>
          <t>Binary Code</t>
        </is>
      </c>
      <c r="C22" s="2" t="b">
        <v>1</v>
      </c>
      <c r="D22" s="3">
        <f>$E22 = TRUE()</f>
        <v/>
      </c>
      <c r="E22" s="2" t="b">
        <v>1</v>
      </c>
      <c r="F22" s="2" t="b">
        <v>0</v>
      </c>
      <c r="G22" s="3">
        <f>"Is " &amp; $B22 &amp; " a language?"</f>
        <v/>
      </c>
      <c r="H22" s="3">
        <f>AND(
  $E22,
  $M22,
  $T22,
  $O22,
  $N22,
  $P22,
  NOT($F22),
  NOT($L22)
)</f>
        <v/>
      </c>
      <c r="I22" s="3">
        <f>IF($E22, "Has Syntax", "No Syntax") &amp; " &amp; " &amp; IF($M22, "Requires Parsing", "No Parsing Neede") &amp; " &amp; " &amp; IF($T22, "Describes the thing", "Is the Thing") &amp; " &amp; " &amp; IF($O22, "Has Linear Decoding Pressure", "No Decoding Pressure") &amp; " &amp; " &amp; IF($N22, "Resolves to AST", "No AST") &amp; ", " &amp;
"  " &amp; IF($P22, "Is Stable Ontology", "Not 'Ontology'") &amp; "\n AND " &amp;
"  " &amp; IF($F22, "Can Be Held", "Can't Be Held") &amp; ", " &amp;
"  " &amp; IF($L22, "Has Identity", "Has no Identity")</f>
        <v/>
      </c>
      <c r="J22" s="3">
        <f>IF(NOT($H22 = $C22),
  $B22 &amp; " " &amp; IF($H22, "Is", "Isn't") &amp; " a Family Feud Language, but " &amp; 
  IF($C22, "Is", "Is Not") &amp; " marked as a 'Language Candidate.'") &amp; IF($V22, " - Open World vs. Closed World Conflict.")</f>
        <v/>
      </c>
      <c r="K22" s="2" t="inlineStr">
        <is>
          <t>Formal Language</t>
        </is>
      </c>
      <c r="L22" s="2" t="b">
        <v>0</v>
      </c>
      <c r="M22" s="2" t="b">
        <v>1</v>
      </c>
      <c r="N22" s="2" t="b">
        <v>1</v>
      </c>
      <c r="O22" s="2" t="b">
        <v>1</v>
      </c>
      <c r="P22" s="2" t="b">
        <v>1</v>
      </c>
      <c r="Q22" s="2" t="b">
        <v>0</v>
      </c>
      <c r="R22" s="2" t="b">
        <v>0</v>
      </c>
      <c r="S22" s="2" t="b">
        <v>0</v>
      </c>
      <c r="T22" s="3">
        <f>$U22 &gt; 1</f>
        <v/>
      </c>
      <c r="U22" s="2" t="n">
        <v>2</v>
      </c>
      <c r="V22" s="3">
        <f>AND($R22, $S22)</f>
        <v/>
      </c>
      <c r="W22" s="2" t="inlineStr">
        <is>
          <t>OneDimensionalSymbolic</t>
        </is>
      </c>
      <c r="X22" s="3">
        <f>IF($U22 = 1, "IsMirrorOf", "IsDescriptionOf")</f>
        <v/>
      </c>
      <c r="Y22" s="2" t="inlineStr">
        <is>
          <t>M2</t>
        </is>
      </c>
      <c r="Z22" s="2" t="n">
        <v>21</v>
      </c>
    </row>
    <row r="23">
      <c r="A23" s="2" t="inlineStr">
        <is>
          <t>running-calculator-app</t>
        </is>
      </c>
      <c r="B23" s="2" t="inlineStr">
        <is>
          <t>Running Calculator App</t>
        </is>
      </c>
      <c r="C23" s="2" t="b">
        <v>0</v>
      </c>
      <c r="D23" s="3">
        <f>$E23 = TRUE()</f>
        <v/>
      </c>
      <c r="E23" s="2" t="b">
        <v>0</v>
      </c>
      <c r="F23" s="2" t="b">
        <v>0</v>
      </c>
      <c r="G23" s="3">
        <f>"Is " &amp; $B23 &amp; " a language?"</f>
        <v/>
      </c>
      <c r="H23" s="3">
        <f>AND(
  $E23,
  $M23,
  $T23,
  $O23,
  $N23,
  $P23,
  NOT($F23),
  NOT($L23)
)</f>
        <v/>
      </c>
      <c r="I23" s="3">
        <f>IF($E23, "Has Syntax", "No Syntax") &amp; " &amp; " &amp; IF($M23, "Requires Parsing", "No Parsing Neede") &amp; " &amp; " &amp; IF($T23, "Describes the thing", "Is the Thing") &amp; " &amp; " &amp; IF($O23, "Has Linear Decoding Pressure", "No Decoding Pressure") &amp; " &amp; " &amp; IF($N23, "Resolves to AST", "No AST") &amp; ", " &amp;
"  " &amp; IF($P23, "Is Stable Ontology", "Not 'Ontology'") &amp; "\n AND " &amp;
"  " &amp; IF($F23, "Can Be Held", "Can't Be Held") &amp; ", " &amp;
"  " &amp; IF($L23, "Has Identity", "Has no Identity")</f>
        <v/>
      </c>
      <c r="J23" s="3">
        <f>IF(NOT($H23 = $C23),
  $B23 &amp; " " &amp; IF($H23, "Is", "Isn't") &amp; " a Family Feud Language, but " &amp; 
  IF($C23, "Is", "Is Not") &amp; " marked as a 'Language Candidate.'") &amp; IF($V23, " - Open World vs. Closed World Conflict.")</f>
        <v/>
      </c>
      <c r="K23" s="2" t="inlineStr">
        <is>
          <t>Running Software</t>
        </is>
      </c>
      <c r="L23" s="2" t="b">
        <v>1</v>
      </c>
      <c r="M23" s="2" t="b">
        <v>1</v>
      </c>
      <c r="N23" s="2" t="b">
        <v>1</v>
      </c>
      <c r="O23" s="2" t="b">
        <v>0</v>
      </c>
      <c r="P23" s="2" t="b">
        <v>0</v>
      </c>
      <c r="Q23" s="2" t="b">
        <v>0</v>
      </c>
      <c r="R23" s="2" t="b">
        <v>0</v>
      </c>
      <c r="S23" s="2" t="b">
        <v>0</v>
      </c>
      <c r="T23" s="3">
        <f>$U23 &gt; 1</f>
        <v/>
      </c>
      <c r="U23" s="2" t="n">
        <v>1</v>
      </c>
      <c r="V23" s="3">
        <f>AND($R23, $S23)</f>
        <v/>
      </c>
      <c r="W23" s="2" t="inlineStr">
        <is>
          <t>MultiDimensionalNonSymbolic</t>
        </is>
      </c>
      <c r="X23" s="3">
        <f>IF($U23 = 1, "IsMirrorOf", "IsDescriptionOf")</f>
        <v/>
      </c>
      <c r="Y23" s="2" t="inlineStr">
        <is>
          <t>M1</t>
        </is>
      </c>
      <c r="Z23" s="2" t="n">
        <v>22</v>
      </c>
    </row>
    <row r="24">
      <c r="A24" s="2" t="inlineStr">
        <is>
          <t>owa-cwa-falsifier</t>
        </is>
      </c>
      <c r="B24" s="2" t="inlineStr">
        <is>
          <t>OWA &amp; CWA Falsifier</t>
        </is>
      </c>
      <c r="C24" s="2" t="b">
        <v>1</v>
      </c>
      <c r="D24" s="3">
        <f>$E24 = TRUE()</f>
        <v/>
      </c>
      <c r="E24" s="2" t="b">
        <v>1</v>
      </c>
      <c r="F24" s="2" t="b">
        <v>0</v>
      </c>
      <c r="G24" s="3">
        <f>"Is " &amp; $B24 &amp; " a language?"</f>
        <v/>
      </c>
      <c r="H24" s="3">
        <f>AND(
  $E24,
  $M24,
  $T24,
  $O24,
  $N24,
  $P24,
  NOT($F24),
  NOT($L24)
)</f>
        <v/>
      </c>
      <c r="I24" s="3">
        <f>IF($E24, "Has Syntax", "No Syntax") &amp; " &amp; " &amp; IF($M24, "Requires Parsing", "No Parsing Neede") &amp; " &amp; " &amp; IF($T24, "Describes the thing", "Is the Thing") &amp; " &amp; " &amp; IF($O24, "Has Linear Decoding Pressure", "No Decoding Pressure") &amp; " &amp; " &amp; IF($N24, "Resolves to AST", "No AST") &amp; ", " &amp;
"  " &amp; IF($P24, "Is Stable Ontology", "Not 'Ontology'") &amp; "\n AND " &amp;
"  " &amp; IF($F24, "Can Be Held", "Can't Be Held") &amp; ", " &amp;
"  " &amp; IF($L24, "Has Identity", "Has no Identity")</f>
        <v/>
      </c>
      <c r="J24" s="3">
        <f>IF(NOT($H24 = $C24),
  $B24 &amp; " " &amp; IF($H24, "Is", "Isn't") &amp; " a Family Feud Language, but " &amp; 
  IF($C24, "Is", "Is Not") &amp; " marked as a 'Language Candidate.'") &amp; IF($V24, " - Open World vs. Closed World Conflict.")</f>
        <v/>
      </c>
      <c r="K24" s="2" t="inlineStr">
        <is>
          <t>MISSING: Have you seen this Language?</t>
        </is>
      </c>
      <c r="L24" s="2" t="b">
        <v>0</v>
      </c>
      <c r="M24" s="2" t="b">
        <v>1</v>
      </c>
      <c r="N24" s="2" t="b">
        <v>1</v>
      </c>
      <c r="O24" s="2" t="b">
        <v>1</v>
      </c>
      <c r="P24" s="2" t="b">
        <v>1</v>
      </c>
      <c r="Q24" s="2" t="b">
        <v>0</v>
      </c>
      <c r="R24" s="2" t="b">
        <v>1</v>
      </c>
      <c r="S24" s="2" t="b">
        <v>1</v>
      </c>
      <c r="T24" s="3">
        <f>$U24 &gt; 1</f>
        <v/>
      </c>
      <c r="U24" s="2" t="n">
        <v>2</v>
      </c>
      <c r="V24" s="3">
        <f>AND($R24, $S24)</f>
        <v/>
      </c>
      <c r="W24" s="2" t="inlineStr">
        <is>
          <t>OneDimensionalSymbolic</t>
        </is>
      </c>
      <c r="X24" s="3">
        <f>IF($U24 = 1, "IsMirrorOf", "IsDescriptionOf")</f>
        <v/>
      </c>
      <c r="Y24" s="2" t="inlineStr">
        <is>
          <t>M1</t>
        </is>
      </c>
      <c r="Z24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  <col width="22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IsEverythingALanguageId</t>
        </is>
      </c>
      <c r="B1" s="1" t="inlineStr">
        <is>
          <t>Name</t>
        </is>
      </c>
      <c r="C1" s="1" t="inlineStr">
        <is>
          <t>ArgumentName</t>
        </is>
      </c>
      <c r="D1" s="1" t="inlineStr">
        <is>
          <t>ArgumentCategory</t>
        </is>
      </c>
      <c r="E1" s="1" t="inlineStr">
        <is>
          <t>StepType</t>
        </is>
      </c>
      <c r="F1" s="1" t="inlineStr">
        <is>
          <t>Statement</t>
        </is>
      </c>
      <c r="G1" s="1" t="inlineStr">
        <is>
          <t>Formalization</t>
        </is>
      </c>
      <c r="H1" s="1" t="inlineStr">
        <is>
          <t>RelatedCandidateName</t>
        </is>
      </c>
      <c r="I1" s="1" t="inlineStr">
        <is>
          <t>RelatedCandidateId</t>
        </is>
      </c>
      <c r="J1" s="1" t="inlineStr">
        <is>
          <t>EvidenceFromRulebook</t>
        </is>
      </c>
      <c r="K1" s="1" t="inlineStr">
        <is>
          <t>Notes</t>
        </is>
      </c>
    </row>
    <row r="2">
      <c r="A2" s="2" t="inlineStr">
        <is>
          <t>neial-001</t>
        </is>
      </c>
      <c r="B2" s="2" t="inlineStr">
        <is>
          <t>NEIAL-001</t>
        </is>
      </c>
      <c r="C2" s="2" t="inlineStr">
        <is>
          <t>LanguageCanBeFormalized</t>
        </is>
      </c>
      <c r="D2" s="2" t="inlineStr">
        <is>
          <t>Definition</t>
        </is>
      </c>
      <c r="E2" s="2" t="inlineStr">
        <is>
          <t>Motivation</t>
        </is>
      </c>
      <c r="F2" s="2" t="inlineStr">
        <is>
          <t>To avoid the slogan 'Everything is a language', treat 'language' as a typed construct defined by testable properties (syntax, parsing, linear decoding pressure, and descriptor-role).</t>
        </is>
      </c>
      <c r="G2" s="2" t="inlineStr"/>
      <c r="H2" s="2" t="inlineStr"/>
      <c r="I2" s="2" t="inlineStr"/>
      <c r="J2" s="2" t="inlineStr"/>
      <c r="K2" s="2" t="inlineStr">
        <is>
          <t>This keeps 'can be interpreted' separate from 'is a language system'.</t>
        </is>
      </c>
    </row>
    <row r="3">
      <c r="A3" s="2" t="inlineStr">
        <is>
          <t>neial-002</t>
        </is>
      </c>
      <c r="B3" s="2" t="inlineStr">
        <is>
          <t>NEIAL-002</t>
        </is>
      </c>
      <c r="C3" s="2" t="inlineStr">
        <is>
          <t>LanguageCanBeFormalized</t>
        </is>
      </c>
      <c r="D3" s="2" t="inlineStr">
        <is>
          <t>Definition</t>
        </is>
      </c>
      <c r="E3" s="2" t="inlineStr">
        <is>
          <t>PredicateSet</t>
        </is>
      </c>
      <c r="F3" s="2" t="inlineStr">
        <is>
          <t>Use the repo predicates: HasSyntax, RequiresParsing, HasLinearDecodingPressure, StableOntologyReference (spelled IsOngologyDescriptor in the dataset), plus auxiliary checks like CanBeHeld and HasIdentity.</t>
        </is>
      </c>
      <c r="G3" s="2" t="inlineStr">
        <is>
          <t>Predicates: Syntax(x), Parse(x), SerializeMeaning(x), OntDesc(x), Tangible(x)</t>
        </is>
      </c>
      <c r="H3" s="2" t="inlineStr"/>
      <c r="I3" s="2" t="inlineStr"/>
      <c r="J3" s="2" t="inlineStr"/>
      <c r="K3" s="2" t="inlineStr">
        <is>
          <t>We preserve the dataset's field name even when misspelled to match the generated schema.</t>
        </is>
      </c>
    </row>
    <row r="4">
      <c r="A4" s="2" t="inlineStr">
        <is>
          <t>neial-003</t>
        </is>
      </c>
      <c r="B4" s="2" t="inlineStr">
        <is>
          <t>NEIAL-003</t>
        </is>
      </c>
      <c r="C4" s="2" t="inlineStr">
        <is>
          <t>LanguageCanBeFormalized</t>
        </is>
      </c>
      <c r="D4" s="2" t="inlineStr">
        <is>
          <t>Definition</t>
        </is>
      </c>
      <c r="E4" s="2" t="inlineStr">
        <is>
          <t>Definition</t>
        </is>
      </c>
      <c r="F4" s="2" t="inlineStr">
        <is>
          <t>Operational definition: an item x counts as a Language if it has syntax, requires parsing, serializes meaning, and functions as an ontology/descriptor system.</t>
        </is>
      </c>
      <c r="G4" s="2" t="inlineStr">
        <is>
          <t>Language(x) := HasSyntax(x) ∧ RequiresParsing(x) ∧ HasLinearDecodingPressure(x) ∧ StableOntologyReference(x)</t>
        </is>
      </c>
      <c r="H4" s="2" t="inlineStr"/>
      <c r="I4" s="2" t="inlineStr"/>
      <c r="J4" s="2" t="inlineStr"/>
      <c r="K4" s="2" t="inlineStr">
        <is>
          <t>This is a deliberately 'strong' definition: it matches formal languages and many natural language representations.</t>
        </is>
      </c>
    </row>
    <row r="5">
      <c r="A5" s="2" t="inlineStr">
        <is>
          <t>neial-004</t>
        </is>
      </c>
      <c r="B5" s="2" t="inlineStr">
        <is>
          <t>NEIAL-004</t>
        </is>
      </c>
      <c r="C5" s="2" t="inlineStr">
        <is>
          <t>LanguageCanBeFormalized</t>
        </is>
      </c>
      <c r="D5" s="2" t="inlineStr">
        <is>
          <t>Premise</t>
        </is>
      </c>
      <c r="E5" s="2" t="inlineStr">
        <is>
          <t>Witness</t>
        </is>
      </c>
      <c r="F5" s="2" t="inlineStr">
        <is>
          <t>There exists at least one clear witness that satisfies the operational definition: English.</t>
        </is>
      </c>
      <c r="G5" s="2" t="inlineStr">
        <is>
          <t>∃x (x=English ∧ Language(x))</t>
        </is>
      </c>
      <c r="H5" s="2" t="inlineStr">
        <is>
          <t>English</t>
        </is>
      </c>
      <c r="I5" s="2" t="inlineStr">
        <is>
          <t>english</t>
        </is>
      </c>
      <c r="J5" s="2" t="inlineStr">
        <is>
          <t>HasSyntax=True; RequiresParsing=True; HasLinearDecodingPressure=True; IsOngologyDescriptor=True; CanBeHeld=False; HasIdentity=False; DistanceFromConcept=2; Category=Natural Language</t>
        </is>
      </c>
      <c r="K5" s="2" t="inlineStr">
        <is>
          <t>If any predicate is false in your current dataset for this witness, adjust the candidate record or relax the definition.</t>
        </is>
      </c>
    </row>
    <row r="6">
      <c r="A6" s="2" t="inlineStr">
        <is>
          <t>neial-005</t>
        </is>
      </c>
      <c r="B6" s="2" t="inlineStr">
        <is>
          <t>NEIAL-005</t>
        </is>
      </c>
      <c r="C6" s="2" t="inlineStr">
        <is>
          <t>LanguageCanBeFormalized</t>
        </is>
      </c>
      <c r="D6" s="2" t="inlineStr">
        <is>
          <t>Premise</t>
        </is>
      </c>
      <c r="E6" s="2" t="inlineStr">
        <is>
          <t>Witness</t>
        </is>
      </c>
      <c r="F6" s="2" t="inlineStr">
        <is>
          <t>There exists at least one clear witness that satisfies the operational definition: Python.</t>
        </is>
      </c>
      <c r="G6" s="2" t="inlineStr">
        <is>
          <t>∃x (x=Python ∧ Language(x))</t>
        </is>
      </c>
      <c r="H6" s="2" t="inlineStr">
        <is>
          <t>Python</t>
        </is>
      </c>
      <c r="I6" s="2" t="inlineStr">
        <is>
          <t>python</t>
        </is>
      </c>
      <c r="J6" s="2" t="inlineStr">
        <is>
          <t>HasSyntax=True; RequiresParsing=True; HasLinearDecodingPressure=True; IsOngologyDescriptor=True; CanBeHeld=False; HasIdentity=False; DistanceFromConcept=2; Category=Formal Language</t>
        </is>
      </c>
      <c r="K6" s="2" t="inlineStr">
        <is>
          <t>If any predicate is false in your current dataset for this witness, adjust the candidate record or relax the definition.</t>
        </is>
      </c>
    </row>
    <row r="7">
      <c r="A7" s="2" t="inlineStr">
        <is>
          <t>neial-006</t>
        </is>
      </c>
      <c r="B7" s="2" t="inlineStr">
        <is>
          <t>NEIAL-006</t>
        </is>
      </c>
      <c r="C7" s="2" t="inlineStr">
        <is>
          <t>LanguageCanBeFormalized</t>
        </is>
      </c>
      <c r="D7" s="2" t="inlineStr">
        <is>
          <t>Conclusion</t>
        </is>
      </c>
      <c r="E7" s="2" t="inlineStr">
        <is>
          <t>Conclusion</t>
        </is>
      </c>
      <c r="F7" s="2" t="inlineStr">
        <is>
          <t>Therefore, 'language' can be formalized as a computable classification boundary over explicit predicates.</t>
        </is>
      </c>
      <c r="G7" s="2" t="inlineStr">
        <is>
          <t>(Definition ∧ Witnesses) ⇒ Formalizable(Language)</t>
        </is>
      </c>
      <c r="H7" s="2" t="inlineStr"/>
      <c r="I7" s="2" t="inlineStr"/>
      <c r="J7" s="2" t="inlineStr"/>
      <c r="K7" s="2" t="inlineStr">
        <is>
          <t>This is the concession: language is formalizable (at least operationally).</t>
        </is>
      </c>
    </row>
    <row r="8">
      <c r="A8" s="2" t="inlineStr">
        <is>
          <t>neial-007</t>
        </is>
      </c>
      <c r="B8" s="2" t="inlineStr">
        <is>
          <t>NEIAL-007</t>
        </is>
      </c>
      <c r="C8" s="2" t="inlineStr">
        <is>
          <t>NotEverythingIsALanguage</t>
        </is>
      </c>
      <c r="D8" s="2" t="inlineStr">
        <is>
          <t>Premise</t>
        </is>
      </c>
      <c r="E8" s="2" t="inlineStr">
        <is>
          <t>Entailment</t>
        </is>
      </c>
      <c r="F8" s="2" t="inlineStr">
        <is>
          <t>If Language(x) is defined by necessary conditions, then any x that fails at least one condition is not a language.</t>
        </is>
      </c>
      <c r="G8" s="2" t="inlineStr">
        <is>
          <t>∀x (¬(HasSyntax(x) ∧ RequiresParsing(x) ∧ HasLinearDecodingPressure(x) ∧ StableOntologyReference(x)) → ¬Language(x))</t>
        </is>
      </c>
      <c r="H8" s="2" t="inlineStr"/>
      <c r="I8" s="2" t="inlineStr"/>
      <c r="J8" s="2" t="inlineStr"/>
      <c r="K8" s="2" t="inlineStr">
        <is>
          <t>This is the standard move: a definition implies exclusions.</t>
        </is>
      </c>
    </row>
    <row r="9">
      <c r="A9" s="2" t="inlineStr">
        <is>
          <t>neial-008</t>
        </is>
      </c>
      <c r="B9" s="2" t="inlineStr">
        <is>
          <t>NEIAL-008</t>
        </is>
      </c>
      <c r="C9" s="2" t="inlineStr">
        <is>
          <t>NotEverythingIsALanguage</t>
        </is>
      </c>
      <c r="D9" s="2" t="inlineStr">
        <is>
          <t>Example</t>
        </is>
      </c>
      <c r="E9" s="2" t="inlineStr">
        <is>
          <t>Counterexample</t>
        </is>
      </c>
      <c r="F9" s="2" t="inlineStr">
        <is>
          <t>Counterexample: a chair can be interpreted as a sign (status, design, function), but it does not constitute a language system under the operational definition.</t>
        </is>
      </c>
      <c r="G9" s="2" t="inlineStr">
        <is>
          <t>¬Language(Chair)</t>
        </is>
      </c>
      <c r="H9" s="2" t="inlineStr">
        <is>
          <t>A Chair</t>
        </is>
      </c>
      <c r="I9" s="2" t="inlineStr"/>
      <c r="J9" s="2" t="inlineStr"/>
      <c r="K9" s="2" t="inlineStr">
        <is>
          <t>This separates semiotic availability (can signify) from linguistic structure (has syntax/parsing/serialized meaning).</t>
        </is>
      </c>
    </row>
    <row r="10">
      <c r="A10" s="2" t="inlineStr">
        <is>
          <t>neial-009</t>
        </is>
      </c>
      <c r="B10" s="2" t="inlineStr">
        <is>
          <t>NEIAL-009</t>
        </is>
      </c>
      <c r="C10" s="2" t="inlineStr">
        <is>
          <t>NotEverythingIsALanguage</t>
        </is>
      </c>
      <c r="D10" s="2" t="inlineStr">
        <is>
          <t>Example</t>
        </is>
      </c>
      <c r="E10" s="2" t="inlineStr">
        <is>
          <t>NonLanguageExample</t>
        </is>
      </c>
      <c r="F10" s="2" t="inlineStr">
        <is>
          <t>Non-language example: A Thunderstorm can be meaningful, but meaning here is not generated by an explicit syntax+parsing+serialization descriptor system.</t>
        </is>
      </c>
      <c r="G10" s="2" t="inlineStr">
        <is>
          <t>¬Language(A Thunderstorm)</t>
        </is>
      </c>
      <c r="H10" s="2" t="inlineStr">
        <is>
          <t>A Thunderstorm</t>
        </is>
      </c>
      <c r="I10" s="2" t="inlineStr">
        <is>
          <t>a-thunderstorm</t>
        </is>
      </c>
      <c r="J10" s="2" t="inlineStr">
        <is>
          <t>HasSyntax=False; RequiresParsing=True; HasLinearDecodingPressure=False; IsOngologyDescriptor=False; CanBeHeld=False; HasIdentity=True; DistanceFromConcept=1; Category=Physical event</t>
        </is>
      </c>
      <c r="K10" s="2" t="inlineStr">
        <is>
          <t>These are strong candidates for 'sign vehicles' rather than 'languages'.</t>
        </is>
      </c>
    </row>
    <row r="11">
      <c r="A11" s="2" t="inlineStr">
        <is>
          <t>neial-010</t>
        </is>
      </c>
      <c r="B11" s="2" t="inlineStr">
        <is>
          <t>NEIAL-010</t>
        </is>
      </c>
      <c r="C11" s="2" t="inlineStr">
        <is>
          <t>NotEverythingIsALanguage</t>
        </is>
      </c>
      <c r="D11" s="2" t="inlineStr">
        <is>
          <t>Example</t>
        </is>
      </c>
      <c r="E11" s="2" t="inlineStr">
        <is>
          <t>NonLanguageExample</t>
        </is>
      </c>
      <c r="F11" s="2" t="inlineStr">
        <is>
          <t>Non-language example: A Coffee Mug can be meaningful, but meaning here is not generated by an explicit syntax+parsing+serialization descriptor system.</t>
        </is>
      </c>
      <c r="G11" s="2" t="inlineStr">
        <is>
          <t>¬Language(A Coffee Mug)</t>
        </is>
      </c>
      <c r="H11" s="2" t="inlineStr">
        <is>
          <t>A Coffee Mug</t>
        </is>
      </c>
      <c r="I11" s="2" t="inlineStr">
        <is>
          <t>a-coffee-mug</t>
        </is>
      </c>
      <c r="J11" s="2" t="inlineStr">
        <is>
          <t>HasSyntax=False; RequiresParsing=False; HasLinearDecodingPressure=False; IsOngologyDescriptor=False; CanBeHeld=True; HasIdentity=True; DistanceFromConcept=1; Category=Physical Object</t>
        </is>
      </c>
      <c r="K11" s="2" t="inlineStr">
        <is>
          <t>These are strong candidates for 'sign vehicles' rather than 'languages'.</t>
        </is>
      </c>
    </row>
    <row r="12">
      <c r="A12" s="2" t="inlineStr">
        <is>
          <t>neial-011</t>
        </is>
      </c>
      <c r="B12" s="2" t="inlineStr">
        <is>
          <t>NEIAL-011</t>
        </is>
      </c>
      <c r="C12" s="2" t="inlineStr">
        <is>
          <t>NotEverythingIsALanguage</t>
        </is>
      </c>
      <c r="D12" s="2" t="inlineStr">
        <is>
          <t>Example</t>
        </is>
      </c>
      <c r="E12" s="2" t="inlineStr">
        <is>
          <t>NonLanguageExample</t>
        </is>
      </c>
      <c r="F12" s="2" t="inlineStr">
        <is>
          <t>Non-language example: The Mona Lisa can be meaningful, but meaning here is not generated by an explicit syntax+parsing+serialization descriptor system.</t>
        </is>
      </c>
      <c r="G12" s="2" t="inlineStr">
        <is>
          <t>¬Language(The Mona Lisa)</t>
        </is>
      </c>
      <c r="H12" s="2" t="inlineStr">
        <is>
          <t>The Mona Lisa</t>
        </is>
      </c>
      <c r="I12" s="2" t="inlineStr">
        <is>
          <t>the-mona-lisa</t>
        </is>
      </c>
      <c r="J12" s="2" t="inlineStr">
        <is>
          <t>HasSyntax=False; RequiresParsing=False; HasLinearDecodingPressure=False; IsOngologyDescriptor=True; CanBeHeld=True; HasIdentity=True; DistanceFromConcept=1; Category=Physical Object</t>
        </is>
      </c>
      <c r="K12" s="2" t="inlineStr">
        <is>
          <t>These are strong candidates for 'sign vehicles' rather than 'languages'.</t>
        </is>
      </c>
    </row>
    <row r="13">
      <c r="A13" s="2" t="inlineStr">
        <is>
          <t>neial-012</t>
        </is>
      </c>
      <c r="B13" s="2" t="inlineStr">
        <is>
          <t>NEIAL-012</t>
        </is>
      </c>
      <c r="C13" s="2" t="inlineStr">
        <is>
          <t>NotEverythingIsALanguage</t>
        </is>
      </c>
      <c r="D13" s="2" t="inlineStr">
        <is>
          <t>Observation</t>
        </is>
      </c>
      <c r="E13" s="2" t="inlineStr">
        <is>
          <t>FuzzyBoundary</t>
        </is>
      </c>
      <c r="F13" s="2" t="inlineStr">
        <is>
          <t>Fuzzy case: A Running App often contains embedded languages (code, UI grammars), but as an executing/interactive process it behaves like a dynamic system rather than a static serialized language artifact.</t>
        </is>
      </c>
      <c r="G13" s="2" t="inlineStr">
        <is>
          <t>Borderline(A Running App): may contain ∃y Language(y) but ¬Language(A Running App) under static-serialization criteria</t>
        </is>
      </c>
      <c r="H13" s="2" t="inlineStr">
        <is>
          <t>A Running App</t>
        </is>
      </c>
      <c r="I13" s="2" t="inlineStr"/>
      <c r="J13" s="2" t="inlineStr"/>
      <c r="K13" s="2" t="inlineStr">
        <is>
          <t>This is where traditional semiotics' 'anything is a sign' doesn’t neatly distinguish: (1) language-as-system vs (2) meaning-making interactive processes.</t>
        </is>
      </c>
    </row>
    <row r="14">
      <c r="A14" s="2" t="inlineStr">
        <is>
          <t>neial-013</t>
        </is>
      </c>
      <c r="B14" s="2" t="inlineStr">
        <is>
          <t>NEIAL-013</t>
        </is>
      </c>
      <c r="C14" s="2" t="inlineStr">
        <is>
          <t>NotEverythingIsALanguage</t>
        </is>
      </c>
      <c r="D14" s="2" t="inlineStr">
        <is>
          <t>Observation</t>
        </is>
      </c>
      <c r="E14" s="2" t="inlineStr">
        <is>
          <t>FuzzyBoundary</t>
        </is>
      </c>
      <c r="F14" s="2" t="inlineStr">
        <is>
          <t>Fuzzy case: Running Calculator App often contains embedded languages (code, UI grammars), but as an executing/interactive process it behaves like a dynamic system rather than a static serialized language artifact.</t>
        </is>
      </c>
      <c r="G14" s="2" t="inlineStr">
        <is>
          <t>Borderline(Running Calculator App): may contain ∃y Language(y) but ¬Language(Running Calculator App) under static-serialization criteria</t>
        </is>
      </c>
      <c r="H14" s="2" t="inlineStr">
        <is>
          <t>Running Calculator App</t>
        </is>
      </c>
      <c r="I14" s="2" t="inlineStr">
        <is>
          <t>running-calculator-app</t>
        </is>
      </c>
      <c r="J14" s="2" t="inlineStr">
        <is>
          <t>HasSyntax=False; RequiresParsing=True; HasLinearDecodingPressure=False; IsOngologyDescriptor=False; CanBeHeld=False; HasIdentity=True; DistanceFromConcept=1; Category=Running Software</t>
        </is>
      </c>
      <c r="K14" s="2" t="inlineStr">
        <is>
          <t>This is where traditional semiotics' 'anything is a sign' doesn’t neatly distinguish: (1) language-as-system vs (2) meaning-making interactive processes.</t>
        </is>
      </c>
    </row>
    <row r="15">
      <c r="A15" s="2" t="inlineStr">
        <is>
          <t>neial-014</t>
        </is>
      </c>
      <c r="B15" s="2" t="inlineStr">
        <is>
          <t>NEIAL-014</t>
        </is>
      </c>
      <c r="C15" s="2" t="inlineStr">
        <is>
          <t>NotEverythingIsALanguage</t>
        </is>
      </c>
      <c r="D15" s="2" t="inlineStr">
        <is>
          <t>Observation</t>
        </is>
      </c>
      <c r="E15" s="2" t="inlineStr">
        <is>
          <t>FuzzyBoundary</t>
        </is>
      </c>
      <c r="F15" s="2" t="inlineStr">
        <is>
          <t>Fuzzy case: A Game of Fortnite often contains embedded languages (code, UI grammars), but as an executing/interactive process it behaves like a dynamic system rather than a static serialized language artifact.</t>
        </is>
      </c>
      <c r="G15" s="2" t="inlineStr">
        <is>
          <t>Borderline(A Game of Fortnite): may contain ∃y Language(y) but ¬Language(A Game of Fortnite) under static-serialization criteria</t>
        </is>
      </c>
      <c r="H15" s="2" t="inlineStr">
        <is>
          <t>A Game of Fortnite</t>
        </is>
      </c>
      <c r="I15" s="2" t="inlineStr">
        <is>
          <t>a-game-of-fortnite</t>
        </is>
      </c>
      <c r="J15" s="2" t="inlineStr">
        <is>
          <t>HasSyntax=False; RequiresParsing=True; HasLinearDecodingPressure=False; IsOngologyDescriptor=False; CanBeHeld=False; HasIdentity=True; DistanceFromConcept=1; Category=Running Software</t>
        </is>
      </c>
      <c r="K15" s="2" t="inlineStr">
        <is>
          <t>This is where traditional semiotics' 'anything is a sign' doesn’t neatly distinguish: (1) language-as-system vs (2) meaning-making interactive processes.</t>
        </is>
      </c>
    </row>
    <row r="16">
      <c r="A16" s="2" t="inlineStr">
        <is>
          <t>neial-015</t>
        </is>
      </c>
      <c r="B16" s="2" t="inlineStr">
        <is>
          <t>NEIAL-015</t>
        </is>
      </c>
      <c r="C16" s="2" t="inlineStr">
        <is>
          <t>NotEverythingIsALanguage</t>
        </is>
      </c>
      <c r="D16" s="2" t="inlineStr">
        <is>
          <t>Definition</t>
        </is>
      </c>
      <c r="E16" s="2" t="inlineStr">
        <is>
          <t>Refinement</t>
        </is>
      </c>
      <c r="F16" s="2" t="inlineStr">
        <is>
          <t>Refinement: distinguish LanguageSystem (syntax/parsing/serialization descriptor) from SemioticProcess (interactive/dynamic meaning production) and from SignVehicle (object/phenomenon used as a sign).</t>
        </is>
      </c>
      <c r="G16" s="2" t="inlineStr">
        <is>
          <t>Kinds: LanguageSystem(x) | SemioticProcess(x) | SignVehicle(x)</t>
        </is>
      </c>
      <c r="H16" s="2" t="inlineStr"/>
      <c r="I16" s="2" t="inlineStr"/>
      <c r="J16" s="2" t="inlineStr"/>
      <c r="K16" s="2" t="inlineStr">
        <is>
          <t>This gives you a place to put running apps and games without forcing 'language' to swallow everything.</t>
        </is>
      </c>
    </row>
    <row r="17">
      <c r="A17" s="2" t="inlineStr">
        <is>
          <t>neial-016</t>
        </is>
      </c>
      <c r="B17" s="2" t="inlineStr">
        <is>
          <t>NEIAL-016</t>
        </is>
      </c>
      <c r="C17" s="2" t="inlineStr">
        <is>
          <t>NotEverythingIsALanguage</t>
        </is>
      </c>
      <c r="D17" s="2" t="inlineStr">
        <is>
          <t>Conclusion</t>
        </is>
      </c>
      <c r="E17" s="2" t="inlineStr">
        <is>
          <t>Conclusion</t>
        </is>
      </c>
      <c r="F17" s="2" t="inlineStr">
        <is>
          <t>Given a formalizable definition of language, not everything is a language; some things are better treated as sign vehicles or semiotic processes, with running applications as a key fuzzy region that benefits from explicit modeling.</t>
        </is>
      </c>
      <c r="G17" s="2" t="inlineStr">
        <is>
          <t>Formalizable(Language) ∧ ∃x ¬Language(x) ⇒ ¬(EverythingIsALanguage)</t>
        </is>
      </c>
      <c r="H17" s="2" t="inlineStr"/>
      <c r="I17" s="2" t="inlineStr"/>
      <c r="J17" s="2" t="inlineStr"/>
      <c r="K17" s="2" t="inlineStr">
        <is>
          <t>This is the repo's thesis in one line.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</cols>
  <sheetData>
    <row r="1">
      <c r="A1" s="1" t="inlineStr">
        <is>
          <t>ERBCustomizationId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SQLCode</t>
        </is>
      </c>
      <c r="E1" s="1" t="inlineStr">
        <is>
          <t>SQLTarget</t>
        </is>
      </c>
      <c r="F1" s="1" t="inlineStr">
        <is>
          <t>CustomizationType</t>
        </is>
      </c>
    </row>
    <row r="2">
      <c r="A2" s="2" t="inlineStr">
        <is>
          <t>03a-customize-schema-sql</t>
        </is>
      </c>
      <c r="B2" s="2" t="inlineStr">
        <is>
          <t>03a-customize-schema.sql</t>
        </is>
      </c>
      <c r="C2" s="2" t="inlineStr">
        <is>
          <t>Customize Schema</t>
        </is>
      </c>
      <c r="D2" s="2" t="inlineStr">
        <is>
          <t xml:space="preserve">-- ============================================================================
-- CUSTOMIZE SCHEMA - User-defined tables and schema modifications
-- ============================================================================
-- This file is for YOUR custom schema changes that should persist across
-- regeneration of the base ERB files.
--
-- USE THIS FILE FOR:
--   - Additional tables not defined in the rulebook
--   - Extra columns on existing tables (ALTER TABLE)
--   - Custom indexes for performance tuning
--   - Custom constraints or triggers
--
-- IMPORTANT:
--   - This file runs AFTER 01-drop-and-create-tables.sql
--   - The base tables already exist when this runs
--   - This file will NOT be overwritten by ERB regeneration
--
-- ============================================================================
-- Your custom schema changes go here:
</t>
        </is>
      </c>
      <c r="E2" s="2" t="inlineStr">
        <is>
          <t>Postgres</t>
        </is>
      </c>
      <c r="F2" s="2" t="inlineStr">
        <is>
          <t>Schema</t>
        </is>
      </c>
    </row>
    <row r="3">
      <c r="A3" s="2" t="inlineStr">
        <is>
          <t>03b-customize-functions-sql</t>
        </is>
      </c>
      <c r="B3" s="2" t="inlineStr">
        <is>
          <t>03b-customize-functions.sql</t>
        </is>
      </c>
      <c r="C3" s="2" t="inlineStr">
        <is>
          <t>Customize Functions</t>
        </is>
      </c>
      <c r="D3" s="2" t="inlineStr">
        <is>
          <t>-- Formula: ="Is " &amp; {{Name}} &amp; " a language?"
CREATE OR REPLACE FUNCTION calc_language_candidates_family_feud_question(p_language_candidate_id TEXT)
RETURNS TEXT AS $$
  SELECT 'Is ' || COALESCE(name, '') || ' a language?'
  FROM language_candidates
  WHERE language_candidate_id = p_language_candidate_id;
$$ LANGUAGE SQL STABLE SECURITY DEFINER;
CREATE OR REPLACE FUNCTION public.calc_language_candidates_question(p_language_candidate_id text)
 RETURNS text
 LANGUAGE plpgsql
 STABLE SECURITY DEFINER
AS $function$
BEGIN
  RETURN ('Is ' || (SELECT NULLIF(name, '''') FROM language_candidates WHERE language_candidate_id = p_language_candidate_id) || ' a language?')::text;
END;
$function$;
-- Formula: =IF(NOT({{PredictedAnswer}} = {{IsLanguage}}),
--   {{Name}} &amp; " " &amp; IF({{PredictedAnswer}}, "Is", "Isn't") &amp; " a Family Feud Language, but " &amp;
--   IF({{IsLanguage}}, "Is", "Is Not") &amp; " marked as a 'Language Candidate.'") &amp;
--   IF({{IsOpenClosedWorldConflicted}}, " - Open World vs. Closed World Conflict.")
CREATE OR REPLACE FUNCTION calc_language_candidates_family_feud_mismatch(p_language_candidate_id TEXT)
RETURNS TEXT AS $$
  SELECT
    CASE
      WHEN COALESCE(calc_language_candidates_predicted_answer(p_language_candidate_id), FALSE)
           = COALESCE(is_language, FALSE)
      THEN
        CASE
          WHEN calc_language_candidates_is_open_closed_world_conflicted(p_language_candidate_id)
          THEN ' - Open World vs. Closed World Conflict.'
          ELSE NULL
        END
      ELSE name || ' ' ||
           CASE WHEN calc_language_candidates_predicted_answer(p_language_candidate_id) THEN 'Is' ELSE 'Isn''t' END ||
           ' a Family Feud Language, but ' ||
           CASE WHEN is_language THEN 'Is' ELSE 'Is Not' END ||
           ' marked as a ''Language Candidate.''' ||
           CASE
             WHEN calc_language_candidates_is_open_closed_world_conflicted(p_language_candidate_id)
             THEN ' - Open World vs. Closed World Conflict.'
             ELSE ''
           END
    END
  FROM language_candidates
  WHERE language_candidate_id = p_language_candidate_id;
$$ LANGUAGE SQL STABLE SECURITY DEFINER;</t>
        </is>
      </c>
      <c r="E3" s="2" t="inlineStr">
        <is>
          <t>Postgres</t>
        </is>
      </c>
      <c r="F3" s="2" t="inlineStr">
        <is>
          <t>Functions</t>
        </is>
      </c>
    </row>
    <row r="4">
      <c r="A4" s="2" t="inlineStr">
        <is>
          <t>03c-customize-views-sql</t>
        </is>
      </c>
      <c r="B4" s="2" t="inlineStr">
        <is>
          <t>03c-customize-views.sql</t>
        </is>
      </c>
      <c r="C4" s="2" t="inlineStr">
        <is>
          <t>Customize Views</t>
        </is>
      </c>
      <c r="D4" s="2" t="inlineStr">
        <is>
          <t xml:space="preserve">-- ============================================================================
-- CUSTOMIZE VIEWS - User-defined views and view extensions
-- ============================================================================
-- This file is for YOUR custom views that should persist across
-- regeneration of the base ERB files.
--
-- IMPORTANT:
--   - This file runs AFTER 03-create-views.sql
--   - All base vw_* views already exist when this runs
--   - This file will NOT be overwritten by ERB regeneration
--
-- ============================================================================
-- Your custom views go here:
</t>
        </is>
      </c>
      <c r="E4" s="2" t="inlineStr">
        <is>
          <t>Postgres</t>
        </is>
      </c>
      <c r="F4" s="2" t="inlineStr">
        <is>
          <t>Views</t>
        </is>
      </c>
    </row>
    <row r="5">
      <c r="A5" s="2" t="inlineStr">
        <is>
          <t>03d-customize-rls-sql</t>
        </is>
      </c>
      <c r="B5" s="2" t="inlineStr">
        <is>
          <t>03d-customize-rls.sql</t>
        </is>
      </c>
      <c r="C5" s="2" t="inlineStr">
        <is>
          <t>Customize Policies (RLS)</t>
        </is>
      </c>
      <c r="D5" s="2" t="inlineStr">
        <is>
          <t xml:space="preserve">-- ============================================================================
-- CUSTOMIZE POLICIES - User-defined Row Level Security policies
-- ============================================================================
-- This file is for YOUR custom RLS policies that should persist across
-- regeneration of the base ERB files.
--
-- IMPORTANT:
--   - This file runs AFTER 04-create-policies.sql
--   - Base RLS policies already exist when this runs
--   - This file will NOT be overwritten by ERB regeneration
--
-- ============================================================================
-- Your custom policies go here:
</t>
        </is>
      </c>
      <c r="E5" s="2" t="inlineStr">
        <is>
          <t>Postgres</t>
        </is>
      </c>
      <c r="F5" s="2" t="inlineStr">
        <is>
          <t>RLS</t>
        </is>
      </c>
    </row>
    <row r="6">
      <c r="A6" s="2" t="inlineStr">
        <is>
          <t>03e-customize-data-sql</t>
        </is>
      </c>
      <c r="B6" s="2" t="inlineStr">
        <is>
          <t>03e-customize-data.sql</t>
        </is>
      </c>
      <c r="C6" s="2" t="inlineStr">
        <is>
          <t>Customize Data (Seeds / Migrations)</t>
        </is>
      </c>
      <c r="D6" s="2" t="inlineStr">
        <is>
          <t xml:space="preserve">-- ============================================================================
-- CUSTOMIZE DATA - User-defined seed data and data migrations
-- ============================================================================
-- This file is for YOUR custom seed data that should persist across
-- regeneration of the base ERB files.
--
-- IMPORTANT:
--   - This file runs AFTER 05-insert-data.sql
--   - Base seed data already exists when this runs
--   - This file will NOT be overwritten by ERB regeneration
--
-- ============================================================================
-- Your custom data inserts go here:
</t>
        </is>
      </c>
      <c r="E6" s="2" t="inlineStr">
        <is>
          <t>Postgres</t>
        </is>
      </c>
      <c r="F6" s="2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2026-02-20T07:23:13Z</dcterms:created>
  <dcterms:modified xsi:type="dcterms:W3CDTF">2026-02-20T07:23:13Z</dcterms:modified>
</cp:coreProperties>
</file>